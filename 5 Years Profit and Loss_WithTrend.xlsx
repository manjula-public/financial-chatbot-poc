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Janaka\Downloads\UK\UK\"/>
    </mc:Choice>
  </mc:AlternateContent>
  <xr:revisionPtr revIDLastSave="0" documentId="13_ncr:1_{49FB54B0-C3E3-4AB8-BD97-D126688BF175}" xr6:coauthVersionLast="47" xr6:coauthVersionMax="47" xr10:uidLastSave="{00000000-0000-0000-0000-000000000000}"/>
  <bookViews>
    <workbookView xWindow="-108" yWindow="-108" windowWidth="23256" windowHeight="12576" xr2:uid="{00000000-000D-0000-FFFF-FFFF00000000}"/>
  </bookViews>
  <sheets>
    <sheet name="5 YEARS_Annual Profit and Loss" sheetId="1" r:id="rId1"/>
    <sheet name="BackEnd_DoNOT DELETE" sheetId="2" state="hidden" r:id="rId2"/>
  </sheets>
  <definedNames>
    <definedName name="Interval">#REF!</definedName>
    <definedName name="Schedule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2" l="1"/>
  <c r="D6" i="2"/>
  <c r="C6" i="2"/>
  <c r="B6" i="2"/>
  <c r="E5" i="2"/>
  <c r="D5" i="2"/>
  <c r="C5" i="2"/>
  <c r="B5" i="2"/>
  <c r="H59" i="1"/>
  <c r="G59" i="1"/>
  <c r="F59" i="1"/>
  <c r="E59" i="1"/>
  <c r="D59" i="1"/>
  <c r="H58" i="1"/>
  <c r="G58" i="1"/>
  <c r="F58" i="1"/>
  <c r="E58" i="1"/>
  <c r="D58" i="1"/>
  <c r="H40" i="1"/>
  <c r="H57" i="1" s="1"/>
  <c r="G40" i="1"/>
  <c r="G57" i="1" s="1"/>
  <c r="F40" i="1"/>
  <c r="F57" i="1" s="1"/>
  <c r="E40" i="1"/>
  <c r="E57" i="1" s="1"/>
  <c r="D40" i="1"/>
  <c r="D57" i="1" s="1"/>
  <c r="H17" i="1"/>
  <c r="H52" i="1" s="1"/>
  <c r="G17" i="1"/>
  <c r="G52" i="1" s="1"/>
  <c r="F17" i="1"/>
  <c r="F52" i="1" s="1"/>
  <c r="E17" i="1"/>
  <c r="E52" i="1" s="1"/>
  <c r="D17" i="1"/>
  <c r="D52" i="1" s="1"/>
  <c r="H13" i="1"/>
  <c r="H51" i="1" s="1"/>
  <c r="G13" i="1"/>
  <c r="G51" i="1" s="1"/>
  <c r="G53" i="1" s="1"/>
  <c r="F13" i="1"/>
  <c r="E13" i="1"/>
  <c r="D13" i="1"/>
  <c r="D51" i="1" s="1"/>
  <c r="G9" i="1"/>
  <c r="G15" i="1" s="1"/>
  <c r="D9" i="1"/>
  <c r="D15" i="1" s="1"/>
  <c r="H5" i="1"/>
  <c r="F19" i="1" l="1"/>
  <c r="F43" i="1"/>
  <c r="F45" i="1" s="1"/>
  <c r="E19" i="1"/>
  <c r="E43" i="1" s="1"/>
  <c r="E45" i="1" s="1"/>
  <c r="G19" i="1"/>
  <c r="G43" i="1" s="1"/>
  <c r="G45" i="1" s="1"/>
  <c r="E51" i="1"/>
  <c r="G60" i="1"/>
  <c r="G54" i="1"/>
  <c r="D53" i="1"/>
  <c r="H53" i="1"/>
  <c r="E53" i="1"/>
  <c r="H9" i="1"/>
  <c r="D19" i="1"/>
  <c r="D43" i="1" s="1"/>
  <c r="D45" i="1" s="1"/>
  <c r="H19" i="1"/>
  <c r="H43" i="1" s="1"/>
  <c r="H45" i="1" s="1"/>
  <c r="G21" i="1"/>
  <c r="G50" i="1"/>
  <c r="G56" i="1" s="1"/>
  <c r="F51" i="1"/>
  <c r="F53" i="1" s="1"/>
  <c r="E9" i="1"/>
  <c r="D21" i="1"/>
  <c r="D50" i="1"/>
  <c r="D56" i="1" s="1"/>
  <c r="F9" i="1"/>
  <c r="E50" i="1" l="1"/>
  <c r="E56" i="1" s="1"/>
  <c r="E21" i="1"/>
  <c r="E15" i="1"/>
  <c r="H60" i="1"/>
  <c r="H54" i="1"/>
  <c r="F50" i="1"/>
  <c r="F56" i="1" s="1"/>
  <c r="F15" i="1"/>
  <c r="F21" i="1"/>
  <c r="F54" i="1"/>
  <c r="F60" i="1"/>
  <c r="D60" i="1"/>
  <c r="D54" i="1"/>
  <c r="H15" i="1"/>
  <c r="H50" i="1"/>
  <c r="H56" i="1" s="1"/>
  <c r="H21" i="1"/>
  <c r="E54" i="1"/>
  <c r="E60" i="1"/>
</calcChain>
</file>

<file path=xl/sharedStrings.xml><?xml version="1.0" encoding="utf-8"?>
<sst xmlns="http://schemas.openxmlformats.org/spreadsheetml/2006/main" count="58" uniqueCount="58">
  <si>
    <t>5 Years Income Projection/Analysis</t>
  </si>
  <si>
    <t>John's Bakery</t>
  </si>
  <si>
    <t>Income Statement</t>
  </si>
  <si>
    <t>*Please enter values in white cells only. Cells in gray will be automatically populated based on data input.</t>
  </si>
  <si>
    <t>1234 Anytown</t>
  </si>
  <si>
    <t>DATE PREPARED</t>
  </si>
  <si>
    <t>*User, please enter all values as positive, except as indicated.</t>
  </si>
  <si>
    <t>NY, NY 45871</t>
  </si>
  <si>
    <t>START YEAR</t>
  </si>
  <si>
    <t>Phone: (XXX) XXX-XXXX</t>
  </si>
  <si>
    <t>END YEAR</t>
  </si>
  <si>
    <r>
      <rPr>
        <b/>
        <sz val="11"/>
        <color rgb="FFFF0000"/>
        <rFont val="Arial"/>
      </rPr>
      <t>Attention users:</t>
    </r>
    <r>
      <rPr>
        <sz val="11"/>
        <color theme="1"/>
        <rFont val="Arial"/>
      </rPr>
      <t xml:space="preserve"> Please be aware that the summary table is currently linked to row 34 for interest expense in order to calculate EBIT. If you need to modify the descriptions of operating expenses, please ensure that you update the formula in the summary table accordingly. This will ensure accurate calculation of EBIT.</t>
    </r>
  </si>
  <si>
    <t>For the Years Ended</t>
  </si>
  <si>
    <t>REVENUE</t>
  </si>
  <si>
    <t>TREND</t>
  </si>
  <si>
    <t>Gross Sales</t>
  </si>
  <si>
    <r>
      <rPr>
        <sz val="10"/>
        <color theme="1"/>
        <rFont val="Arial"/>
      </rPr>
      <t xml:space="preserve">Less Sales Discounts </t>
    </r>
    <r>
      <rPr>
        <sz val="8"/>
        <color rgb="FFFF0000"/>
        <rFont val="Arial"/>
      </rPr>
      <t>(enter as negative)</t>
    </r>
  </si>
  <si>
    <r>
      <rPr>
        <sz val="10"/>
        <color theme="1"/>
        <rFont val="Arial"/>
      </rPr>
      <t xml:space="preserve">Less Sales Returns </t>
    </r>
    <r>
      <rPr>
        <sz val="8"/>
        <color rgb="FFFF0000"/>
        <rFont val="Arial"/>
      </rPr>
      <t>(enter as negative)</t>
    </r>
  </si>
  <si>
    <t>NET SALES</t>
  </si>
  <si>
    <t>COST OF SALES</t>
  </si>
  <si>
    <t>Cost of Goods Sold</t>
  </si>
  <si>
    <t>TOTAL COST OF GOODS SOLD (COGS)</t>
  </si>
  <si>
    <t>GROSS PROFIT (LOSS)</t>
  </si>
  <si>
    <t>OPERATING EXPENSES</t>
  </si>
  <si>
    <t>Marketing &amp; Advertising</t>
  </si>
  <si>
    <t>Salaries &amp; Wages</t>
  </si>
  <si>
    <t>Payroll Benefits &amp; Taxes</t>
  </si>
  <si>
    <t xml:space="preserve">Travel &amp; Entertainment </t>
  </si>
  <si>
    <t>Web Hosting and maintenance</t>
  </si>
  <si>
    <t>Stationary</t>
  </si>
  <si>
    <t xml:space="preserve">Rent </t>
  </si>
  <si>
    <t>Utilities</t>
  </si>
  <si>
    <t>Office Supplies</t>
  </si>
  <si>
    <t>Professional Fees</t>
  </si>
  <si>
    <t>Insurance</t>
  </si>
  <si>
    <t>Depreciation</t>
  </si>
  <si>
    <t xml:space="preserve">Interest Expense </t>
  </si>
  <si>
    <t>Other Operating Expenses1</t>
  </si>
  <si>
    <t>Other Operating Expenses2</t>
  </si>
  <si>
    <t>Other Operating Expenses3</t>
  </si>
  <si>
    <t>Other Operating Expenses4</t>
  </si>
  <si>
    <t>Other Operating Expenses5</t>
  </si>
  <si>
    <t>TOTAL OPERATING EXPENSES</t>
  </si>
  <si>
    <t>NET INCOME BEFORE TAXES</t>
  </si>
  <si>
    <t>Income Tax</t>
  </si>
  <si>
    <t>NET INCOME AFTER TAXES</t>
  </si>
  <si>
    <t>SUMMARY ANALYSIS</t>
  </si>
  <si>
    <t>Revenue</t>
  </si>
  <si>
    <t>Net Sales</t>
  </si>
  <si>
    <t>Direct Cost</t>
  </si>
  <si>
    <t>Gross Margin (Profit)</t>
  </si>
  <si>
    <t>Gross Margin%</t>
  </si>
  <si>
    <t>Expenses</t>
  </si>
  <si>
    <t>Operating Expenses</t>
  </si>
  <si>
    <t>Interest</t>
  </si>
  <si>
    <t>Taxes</t>
  </si>
  <si>
    <r>
      <rPr>
        <b/>
        <sz val="10"/>
        <color theme="1"/>
        <rFont val="Arial"/>
      </rPr>
      <t xml:space="preserve">EBIT </t>
    </r>
    <r>
      <rPr>
        <b/>
        <i/>
        <sz val="10"/>
        <color theme="1"/>
        <rFont val="Arial"/>
      </rPr>
      <t>(Earnings before Interest and Taxes)</t>
    </r>
  </si>
  <si>
    <r>
      <rPr>
        <b/>
        <sz val="11"/>
        <color rgb="FFFF0000"/>
        <rFont val="Arial"/>
      </rPr>
      <t>Attention users:</t>
    </r>
    <r>
      <rPr>
        <sz val="11"/>
        <color theme="1"/>
        <rFont val="Arial"/>
      </rPr>
      <t xml:space="preserve"> Please be aware that the summary table is currently linked to row 34 for interest expense in order to calculate EBIT. If you need to modify the descriptions of operating expenses, please ensure that you update the formula in the summary table accordingly. This will ensure accurate calculation of EBIT.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</si>
</sst>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mm/dd/yyyy"/>
    <numFmt numFmtId="165" formatCode="####"/>
    <numFmt numFmtId="166" formatCode="0.00_);\(0.00\)"/>
    <numFmt numFmtId="167" formatCode="&quot;$&quot;#,##0.00"/>
    <numFmt numFmtId="168" formatCode="\$#,##0.00_);[Red]\(\$#,##0.00\)"/>
  </numFmts>
  <fonts count="23">
    <font>
      <sz val="11"/>
      <color theme="1"/>
      <name val="Calibri"/>
      <scheme val="minor"/>
    </font>
    <font>
      <sz val="12"/>
      <color theme="1"/>
      <name val="Arial"/>
    </font>
    <font>
      <b/>
      <sz val="22"/>
      <color rgb="FF595959"/>
      <name val="Arial"/>
    </font>
    <font>
      <b/>
      <sz val="22"/>
      <color rgb="FF7F7F7F"/>
      <name val="Arial"/>
    </font>
    <font>
      <sz val="11"/>
      <color theme="1"/>
      <name val="Arial"/>
    </font>
    <font>
      <sz val="14"/>
      <color theme="1"/>
      <name val="Arial"/>
    </font>
    <font>
      <sz val="10"/>
      <color theme="1"/>
      <name val="Arial"/>
    </font>
    <font>
      <sz val="16"/>
      <color rgb="FF595959"/>
      <name val="Arial"/>
    </font>
    <font>
      <sz val="9"/>
      <color rgb="FF595959"/>
      <name val="Arial"/>
    </font>
    <font>
      <sz val="11"/>
      <name val="Calibri"/>
    </font>
    <font>
      <b/>
      <sz val="12"/>
      <color theme="1"/>
      <name val="Arial"/>
    </font>
    <font>
      <sz val="11"/>
      <color theme="1"/>
      <name val="Arial"/>
    </font>
    <font>
      <i/>
      <sz val="12"/>
      <color theme="1"/>
      <name val="Arial"/>
    </font>
    <font>
      <b/>
      <sz val="11"/>
      <color theme="1"/>
      <name val="Arial"/>
    </font>
    <font>
      <sz val="10"/>
      <color rgb="FFFF0000"/>
      <name val="Arial"/>
    </font>
    <font>
      <b/>
      <sz val="10"/>
      <color theme="1"/>
      <name val="Arial"/>
    </font>
    <font>
      <b/>
      <sz val="14"/>
      <color theme="1"/>
      <name val="Arial"/>
    </font>
    <font>
      <b/>
      <sz val="13"/>
      <color theme="1"/>
      <name val="Arial"/>
    </font>
    <font>
      <i/>
      <sz val="10"/>
      <color theme="1"/>
      <name val="Arial"/>
    </font>
    <font>
      <b/>
      <i/>
      <sz val="10"/>
      <color theme="1"/>
      <name val="Arial"/>
    </font>
    <font>
      <sz val="11"/>
      <color theme="1"/>
      <name val="Calibri"/>
      <scheme val="minor"/>
    </font>
    <font>
      <b/>
      <sz val="11"/>
      <color rgb="FFFF0000"/>
      <name val="Arial"/>
    </font>
    <font>
      <sz val="8"/>
      <color rgb="FFFF0000"/>
      <name val="Arial"/>
    </font>
  </fonts>
  <fills count="6">
    <fill>
      <patternFill patternType="none"/>
    </fill>
    <fill>
      <patternFill patternType="gray125"/>
    </fill>
    <fill>
      <patternFill patternType="solid">
        <fgColor theme="0"/>
        <bgColor theme="0"/>
      </patternFill>
    </fill>
    <fill>
      <patternFill patternType="solid">
        <fgColor rgb="FFA2C4C9"/>
        <bgColor rgb="FFA2C4C9"/>
      </patternFill>
    </fill>
    <fill>
      <patternFill patternType="solid">
        <fgColor rgb="FFEAEEF3"/>
        <bgColor rgb="FFEAEEF3"/>
      </patternFill>
    </fill>
    <fill>
      <patternFill patternType="solid">
        <fgColor rgb="FFCFE2F3"/>
        <bgColor rgb="FFCFE2F3"/>
      </patternFill>
    </fill>
  </fills>
  <borders count="24">
    <border>
      <left/>
      <right/>
      <top/>
      <bottom/>
      <diagonal/>
    </border>
    <border>
      <left/>
      <right style="thin">
        <color rgb="FFBFBFBF"/>
      </right>
      <top/>
      <bottom/>
      <diagonal/>
    </border>
    <border>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bottom style="medium">
        <color rgb="FFBFBFBF"/>
      </bottom>
      <diagonal/>
    </border>
    <border>
      <left/>
      <right/>
      <top/>
      <bottom style="thin">
        <color rgb="FFBFBFBF"/>
      </bottom>
      <diagonal/>
    </border>
    <border>
      <left/>
      <right/>
      <top/>
      <bottom style="thin">
        <color rgb="FFBFBFBF"/>
      </bottom>
      <diagonal/>
    </border>
    <border>
      <left/>
      <right/>
      <top/>
      <bottom style="double">
        <color rgb="FFBFBFBF"/>
      </bottom>
      <diagonal/>
    </border>
    <border>
      <left/>
      <right/>
      <top/>
      <bottom style="medium">
        <color rgb="FFD9D9D9"/>
      </bottom>
      <diagonal/>
    </border>
    <border>
      <left style="thick">
        <color rgb="FFD9D9D9"/>
      </left>
      <right/>
      <top style="thick">
        <color rgb="FFD9D9D9"/>
      </top>
      <bottom style="thin">
        <color rgb="FF1C4587"/>
      </bottom>
      <diagonal/>
    </border>
    <border>
      <left/>
      <right/>
      <top style="thick">
        <color rgb="FFD9D9D9"/>
      </top>
      <bottom style="thin">
        <color rgb="FF1C4587"/>
      </bottom>
      <diagonal/>
    </border>
    <border>
      <left/>
      <right style="thick">
        <color rgb="FFD9D9D9"/>
      </right>
      <top style="thick">
        <color rgb="FFD9D9D9"/>
      </top>
      <bottom style="thin">
        <color rgb="FF1C4587"/>
      </bottom>
      <diagonal/>
    </border>
    <border>
      <left style="thick">
        <color rgb="FFD9D9D9"/>
      </left>
      <right/>
      <top/>
      <bottom/>
      <diagonal/>
    </border>
    <border>
      <left/>
      <right style="thick">
        <color rgb="FFD9D9D9"/>
      </right>
      <top/>
      <bottom/>
      <diagonal/>
    </border>
    <border>
      <left style="thick">
        <color rgb="FFD9D9D9"/>
      </left>
      <right/>
      <top/>
      <bottom style="thin">
        <color rgb="FF1C4587"/>
      </bottom>
      <diagonal/>
    </border>
    <border>
      <left/>
      <right/>
      <top/>
      <bottom style="thin">
        <color rgb="FF1C4587"/>
      </bottom>
      <diagonal/>
    </border>
    <border>
      <left/>
      <right style="thick">
        <color rgb="FFD9D9D9"/>
      </right>
      <top/>
      <bottom style="thin">
        <color rgb="FF1C4587"/>
      </bottom>
      <diagonal/>
    </border>
    <border>
      <left style="thick">
        <color rgb="FFD9D9D9"/>
      </left>
      <right/>
      <top/>
      <bottom style="thick">
        <color rgb="FFD9D9D9"/>
      </bottom>
      <diagonal/>
    </border>
    <border>
      <left/>
      <right/>
      <top/>
      <bottom style="thick">
        <color rgb="FFD9D9D9"/>
      </bottom>
      <diagonal/>
    </border>
  </borders>
  <cellStyleXfs count="1">
    <xf numFmtId="0" fontId="0" fillId="0" borderId="0"/>
  </cellStyleXfs>
  <cellXfs count="83">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164" fontId="6" fillId="2" borderId="2" xfId="0" applyNumberFormat="1" applyFont="1" applyFill="1" applyBorder="1" applyAlignment="1">
      <alignment horizontal="center" vertical="center"/>
    </xf>
    <xf numFmtId="0" fontId="10" fillId="2" borderId="3" xfId="0" applyFont="1" applyFill="1" applyBorder="1" applyAlignment="1">
      <alignment horizontal="center"/>
    </xf>
    <xf numFmtId="0" fontId="8" fillId="0" borderId="1" xfId="0" applyFont="1" applyBorder="1" applyAlignment="1">
      <alignment horizontal="right" vertical="center"/>
    </xf>
    <xf numFmtId="165" fontId="6" fillId="2" borderId="2" xfId="0" applyNumberFormat="1" applyFont="1" applyFill="1" applyBorder="1" applyAlignment="1">
      <alignment horizontal="center" vertical="center"/>
    </xf>
    <xf numFmtId="14" fontId="4" fillId="2" borderId="3" xfId="0" applyNumberFormat="1" applyFont="1" applyFill="1" applyBorder="1" applyAlignment="1">
      <alignment horizontal="center"/>
    </xf>
    <xf numFmtId="0" fontId="11" fillId="0" borderId="0" xfId="0" applyFont="1"/>
    <xf numFmtId="0" fontId="4" fillId="0" borderId="0" xfId="0" applyFont="1" applyAlignment="1">
      <alignment horizontal="left" vertical="center" wrapText="1"/>
    </xf>
    <xf numFmtId="165" fontId="6" fillId="3" borderId="2" xfId="0" applyNumberFormat="1" applyFont="1" applyFill="1" applyBorder="1" applyAlignment="1">
      <alignment horizontal="center" vertical="center"/>
    </xf>
    <xf numFmtId="0" fontId="6" fillId="0" borderId="0" xfId="0" applyFont="1" applyAlignment="1">
      <alignment vertical="center"/>
    </xf>
    <xf numFmtId="0" fontId="8" fillId="0" borderId="0" xfId="0" applyFont="1" applyAlignment="1">
      <alignment horizontal="left" vertical="center"/>
    </xf>
    <xf numFmtId="165" fontId="6" fillId="2" borderId="4" xfId="0" applyNumberFormat="1" applyFont="1" applyFill="1" applyBorder="1" applyAlignment="1">
      <alignment horizontal="center" vertical="center"/>
    </xf>
    <xf numFmtId="165" fontId="6" fillId="2" borderId="3" xfId="0" applyNumberFormat="1" applyFont="1" applyFill="1" applyBorder="1" applyAlignment="1">
      <alignment vertical="center"/>
    </xf>
    <xf numFmtId="0" fontId="13" fillId="3" borderId="3" xfId="0" applyFont="1" applyFill="1" applyBorder="1" applyAlignment="1">
      <alignment horizontal="left" vertical="center"/>
    </xf>
    <xf numFmtId="165" fontId="13" fillId="3" borderId="7" xfId="0" applyNumberFormat="1" applyFont="1" applyFill="1" applyBorder="1" applyAlignment="1">
      <alignment horizontal="center" vertical="center"/>
    </xf>
    <xf numFmtId="165" fontId="13" fillId="3" borderId="3" xfId="0" applyNumberFormat="1" applyFont="1" applyFill="1" applyBorder="1" applyAlignment="1">
      <alignment horizontal="right" vertical="center"/>
    </xf>
    <xf numFmtId="0" fontId="4" fillId="0" borderId="0" xfId="0" applyFont="1" applyAlignment="1">
      <alignment horizontal="center"/>
    </xf>
    <xf numFmtId="44" fontId="6" fillId="0" borderId="8" xfId="0" applyNumberFormat="1" applyFont="1" applyBorder="1" applyAlignment="1">
      <alignment vertical="center"/>
    </xf>
    <xf numFmtId="44" fontId="6" fillId="0" borderId="0" xfId="0" applyNumberFormat="1" applyFont="1" applyAlignment="1">
      <alignment vertical="center"/>
    </xf>
    <xf numFmtId="44" fontId="4" fillId="0" borderId="0" xfId="0" applyNumberFormat="1" applyFont="1"/>
    <xf numFmtId="44" fontId="14" fillId="0" borderId="0" xfId="0" applyNumberFormat="1" applyFont="1" applyAlignment="1">
      <alignment vertical="center"/>
    </xf>
    <xf numFmtId="44" fontId="14" fillId="0" borderId="9" xfId="0" applyNumberFormat="1" applyFont="1" applyBorder="1" applyAlignment="1">
      <alignment vertical="center"/>
    </xf>
    <xf numFmtId="0" fontId="15" fillId="4" borderId="10" xfId="0" applyFont="1" applyFill="1" applyBorder="1" applyAlignment="1">
      <alignment horizontal="left" vertical="center"/>
    </xf>
    <xf numFmtId="44" fontId="15" fillId="4" borderId="11" xfId="0" applyNumberFormat="1" applyFont="1" applyFill="1" applyBorder="1" applyAlignment="1">
      <alignment horizontal="center" vertical="center"/>
    </xf>
    <xf numFmtId="44" fontId="15" fillId="4" borderId="10" xfId="0" applyNumberFormat="1" applyFont="1" applyFill="1" applyBorder="1" applyAlignment="1">
      <alignment horizontal="center" vertical="center"/>
    </xf>
    <xf numFmtId="0" fontId="13" fillId="3" borderId="3" xfId="0" applyFont="1" applyFill="1" applyBorder="1" applyAlignment="1">
      <alignment horizontal="right" vertical="center"/>
    </xf>
    <xf numFmtId="0" fontId="13" fillId="0" borderId="0" xfId="0" applyFont="1" applyAlignment="1">
      <alignment horizontal="center" wrapText="1"/>
    </xf>
    <xf numFmtId="44" fontId="6" fillId="0" borderId="9" xfId="0" applyNumberFormat="1" applyFont="1" applyBorder="1" applyAlignment="1">
      <alignment vertical="center"/>
    </xf>
    <xf numFmtId="0" fontId="10" fillId="2" borderId="3" xfId="0" applyFont="1" applyFill="1" applyBorder="1" applyAlignment="1">
      <alignment horizontal="center" wrapText="1"/>
    </xf>
    <xf numFmtId="166" fontId="4" fillId="0" borderId="0" xfId="0" applyNumberFormat="1" applyFont="1"/>
    <xf numFmtId="0" fontId="15" fillId="3" borderId="12" xfId="0" applyFont="1" applyFill="1" applyBorder="1" applyAlignment="1">
      <alignment horizontal="left" vertical="center"/>
    </xf>
    <xf numFmtId="44" fontId="15" fillId="3" borderId="12" xfId="0" applyNumberFormat="1" applyFont="1" applyFill="1" applyBorder="1" applyAlignment="1">
      <alignment horizontal="center" vertical="center"/>
    </xf>
    <xf numFmtId="0" fontId="6" fillId="0" borderId="0" xfId="0" applyFont="1" applyAlignment="1">
      <alignment horizontal="left" vertical="center"/>
    </xf>
    <xf numFmtId="44" fontId="6" fillId="0" borderId="13" xfId="0" applyNumberFormat="1" applyFont="1" applyBorder="1" applyAlignment="1">
      <alignment vertical="center"/>
    </xf>
    <xf numFmtId="44" fontId="16" fillId="0" borderId="0" xfId="0" applyNumberFormat="1" applyFont="1"/>
    <xf numFmtId="0" fontId="15" fillId="3" borderId="3" xfId="0" applyFont="1" applyFill="1" applyBorder="1" applyAlignment="1">
      <alignment horizontal="left" vertical="center"/>
    </xf>
    <xf numFmtId="44" fontId="6" fillId="3" borderId="3" xfId="0" applyNumberFormat="1" applyFont="1" applyFill="1" applyBorder="1" applyAlignment="1">
      <alignment vertical="center"/>
    </xf>
    <xf numFmtId="44" fontId="13" fillId="3" borderId="3" xfId="0" applyNumberFormat="1" applyFont="1" applyFill="1" applyBorder="1" applyAlignment="1">
      <alignment horizontal="right" vertical="center"/>
    </xf>
    <xf numFmtId="44" fontId="15" fillId="3" borderId="3" xfId="0" applyNumberFormat="1" applyFont="1" applyFill="1" applyBorder="1" applyAlignment="1">
      <alignment vertical="center"/>
    </xf>
    <xf numFmtId="0" fontId="4" fillId="2" borderId="3" xfId="0" applyFont="1" applyFill="1" applyBorder="1"/>
    <xf numFmtId="0" fontId="10" fillId="2" borderId="3" xfId="0" applyFont="1" applyFill="1" applyBorder="1" applyAlignment="1">
      <alignment horizontal="left"/>
    </xf>
    <xf numFmtId="44" fontId="10" fillId="2" borderId="3" xfId="0" applyNumberFormat="1" applyFont="1" applyFill="1" applyBorder="1" applyAlignment="1">
      <alignment horizontal="left"/>
    </xf>
    <xf numFmtId="0" fontId="4" fillId="5" borderId="17" xfId="0" applyFont="1" applyFill="1" applyBorder="1"/>
    <xf numFmtId="0" fontId="4" fillId="5" borderId="0" xfId="0" applyFont="1" applyFill="1"/>
    <xf numFmtId="0" fontId="4" fillId="5" borderId="18" xfId="0" applyFont="1" applyFill="1" applyBorder="1"/>
    <xf numFmtId="0" fontId="6" fillId="5" borderId="19" xfId="0" applyFont="1" applyFill="1" applyBorder="1" applyAlignment="1"/>
    <xf numFmtId="0" fontId="6" fillId="5" borderId="20" xfId="0" applyFont="1" applyFill="1" applyBorder="1"/>
    <xf numFmtId="165" fontId="15" fillId="5" borderId="20" xfId="0" applyNumberFormat="1" applyFont="1" applyFill="1" applyBorder="1"/>
    <xf numFmtId="0" fontId="6" fillId="5" borderId="17" xfId="0" applyFont="1" applyFill="1" applyBorder="1" applyAlignment="1"/>
    <xf numFmtId="0" fontId="6" fillId="5" borderId="0" xfId="0" applyFont="1" applyFill="1"/>
    <xf numFmtId="167" fontId="6" fillId="5" borderId="0" xfId="0" applyNumberFormat="1" applyFont="1" applyFill="1"/>
    <xf numFmtId="167" fontId="6" fillId="5" borderId="18" xfId="0" applyNumberFormat="1" applyFont="1" applyFill="1" applyBorder="1"/>
    <xf numFmtId="0" fontId="15" fillId="5" borderId="17" xfId="0" applyFont="1" applyFill="1" applyBorder="1" applyAlignment="1"/>
    <xf numFmtId="0" fontId="15" fillId="5" borderId="0" xfId="0" applyFont="1" applyFill="1"/>
    <xf numFmtId="168" fontId="15" fillId="5" borderId="0" xfId="0" applyNumberFormat="1" applyFont="1" applyFill="1"/>
    <xf numFmtId="168" fontId="15" fillId="5" borderId="18" xfId="0" applyNumberFormat="1" applyFont="1" applyFill="1" applyBorder="1"/>
    <xf numFmtId="10" fontId="18" fillId="5" borderId="0" xfId="0" applyNumberFormat="1" applyFont="1" applyFill="1"/>
    <xf numFmtId="10" fontId="18" fillId="5" borderId="18" xfId="0" applyNumberFormat="1" applyFont="1" applyFill="1" applyBorder="1"/>
    <xf numFmtId="0" fontId="6" fillId="5" borderId="17" xfId="0" applyFont="1" applyFill="1" applyBorder="1"/>
    <xf numFmtId="0" fontId="6" fillId="5" borderId="18" xfId="0" applyFont="1" applyFill="1" applyBorder="1"/>
    <xf numFmtId="165" fontId="15" fillId="5" borderId="21" xfId="0" applyNumberFormat="1" applyFont="1" applyFill="1" applyBorder="1"/>
    <xf numFmtId="0" fontId="15" fillId="5" borderId="22" xfId="0" applyFont="1" applyFill="1" applyBorder="1" applyAlignment="1"/>
    <xf numFmtId="0" fontId="6" fillId="5" borderId="23" xfId="0" applyFont="1" applyFill="1" applyBorder="1"/>
    <xf numFmtId="168" fontId="19" fillId="5" borderId="23" xfId="0" applyNumberFormat="1" applyFont="1" applyFill="1" applyBorder="1"/>
    <xf numFmtId="44" fontId="20" fillId="0" borderId="0" xfId="0" applyNumberFormat="1" applyFont="1"/>
    <xf numFmtId="0" fontId="7" fillId="0" borderId="0" xfId="0" applyFont="1" applyAlignment="1">
      <alignment horizontal="right" vertical="top"/>
    </xf>
    <xf numFmtId="0" fontId="0" fillId="0" borderId="0" xfId="0" applyFont="1" applyAlignment="1"/>
    <xf numFmtId="0" fontId="8" fillId="0" borderId="0" xfId="0" applyFont="1" applyAlignment="1">
      <alignment horizontal="right" vertical="center"/>
    </xf>
    <xf numFmtId="0" fontId="9" fillId="0" borderId="1" xfId="0" applyFont="1" applyBorder="1"/>
    <xf numFmtId="0" fontId="4" fillId="0" borderId="0" xfId="0" applyFont="1" applyAlignment="1">
      <alignment horizontal="left" vertical="center" wrapText="1"/>
    </xf>
    <xf numFmtId="0" fontId="12" fillId="0" borderId="5" xfId="0" applyFont="1" applyBorder="1" applyAlignment="1">
      <alignment horizontal="center" vertical="center"/>
    </xf>
    <xf numFmtId="0" fontId="9" fillId="0" borderId="5" xfId="0" applyFont="1" applyBorder="1"/>
    <xf numFmtId="0" fontId="9" fillId="0" borderId="6" xfId="0" applyFont="1" applyBorder="1"/>
    <xf numFmtId="0" fontId="17" fillId="5" borderId="14" xfId="0" applyFont="1" applyFill="1" applyBorder="1" applyAlignment="1">
      <alignment horizontal="center"/>
    </xf>
    <xf numFmtId="0" fontId="9" fillId="0" borderId="15" xfId="0" applyFont="1" applyBorder="1"/>
    <xf numFmtId="0" fontId="9"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pageSetUpPr fitToPage="1"/>
  </sheetPr>
  <dimension ref="A1:AA1002"/>
  <sheetViews>
    <sheetView showGridLines="0" tabSelected="1" topLeftCell="A22" workbookViewId="0">
      <selection activeCell="D43" sqref="D43"/>
    </sheetView>
  </sheetViews>
  <sheetFormatPr defaultColWidth="14.44140625" defaultRowHeight="15" customHeight="1"/>
  <cols>
    <col min="1" max="1" width="3.33203125" customWidth="1"/>
    <col min="2" max="2" width="41.88671875" customWidth="1"/>
    <col min="3" max="3" width="27.5546875" customWidth="1"/>
    <col min="4" max="8" width="18" customWidth="1"/>
    <col min="9" max="9" width="3.33203125" customWidth="1"/>
    <col min="10" max="10" width="8.88671875" customWidth="1"/>
    <col min="11" max="11" width="14" customWidth="1"/>
    <col min="12" max="12" width="11.109375" customWidth="1"/>
    <col min="13" max="27" width="8.88671875" customWidth="1"/>
  </cols>
  <sheetData>
    <row r="1" spans="1:27" ht="42" customHeight="1">
      <c r="A1" s="1"/>
      <c r="B1" s="2" t="s">
        <v>0</v>
      </c>
      <c r="C1" s="3"/>
      <c r="D1" s="3"/>
      <c r="E1" s="3"/>
      <c r="F1" s="3"/>
      <c r="G1" s="1"/>
      <c r="H1" s="1"/>
      <c r="I1" s="1"/>
      <c r="J1" s="1"/>
      <c r="K1" s="1"/>
      <c r="L1" s="1"/>
      <c r="M1" s="1"/>
      <c r="N1" s="1"/>
      <c r="O1" s="1"/>
      <c r="P1" s="1"/>
      <c r="Q1" s="1"/>
      <c r="R1" s="1"/>
      <c r="S1" s="1"/>
      <c r="T1" s="1"/>
      <c r="U1" s="1"/>
      <c r="V1" s="1"/>
      <c r="W1" s="1"/>
      <c r="X1" s="1"/>
      <c r="Y1" s="1"/>
      <c r="Z1" s="1"/>
      <c r="AA1" s="1"/>
    </row>
    <row r="2" spans="1:27" ht="24.75" customHeight="1">
      <c r="A2" s="4"/>
      <c r="B2" s="5" t="s">
        <v>1</v>
      </c>
      <c r="C2" s="6"/>
      <c r="D2" s="6"/>
      <c r="E2" s="6"/>
      <c r="F2" s="72" t="s">
        <v>2</v>
      </c>
      <c r="G2" s="73"/>
      <c r="H2" s="73"/>
      <c r="I2" s="4"/>
      <c r="J2" s="4"/>
      <c r="K2" s="4" t="s">
        <v>3</v>
      </c>
      <c r="L2" s="4"/>
      <c r="M2" s="4"/>
      <c r="N2" s="4"/>
      <c r="O2" s="4"/>
      <c r="P2" s="4"/>
      <c r="Q2" s="4"/>
      <c r="R2" s="4"/>
      <c r="S2" s="4"/>
      <c r="T2" s="4"/>
      <c r="U2" s="4"/>
      <c r="V2" s="4"/>
      <c r="W2" s="4"/>
      <c r="X2" s="4"/>
      <c r="Y2" s="4"/>
      <c r="Z2" s="4"/>
      <c r="AA2" s="4"/>
    </row>
    <row r="3" spans="1:27" ht="21.75" customHeight="1">
      <c r="A3" s="4"/>
      <c r="B3" s="7" t="s">
        <v>4</v>
      </c>
      <c r="C3" s="6"/>
      <c r="D3" s="6"/>
      <c r="E3" s="6"/>
      <c r="F3" s="74" t="s">
        <v>5</v>
      </c>
      <c r="G3" s="75"/>
      <c r="H3" s="8">
        <v>47119</v>
      </c>
      <c r="I3" s="9"/>
      <c r="J3" s="4"/>
      <c r="K3" s="4" t="s">
        <v>6</v>
      </c>
      <c r="L3" s="4"/>
      <c r="M3" s="4"/>
      <c r="N3" s="4"/>
      <c r="O3" s="4"/>
      <c r="P3" s="4"/>
      <c r="Q3" s="4"/>
      <c r="R3" s="4"/>
      <c r="S3" s="4"/>
      <c r="T3" s="4"/>
      <c r="U3" s="4"/>
      <c r="V3" s="4"/>
      <c r="W3" s="4"/>
      <c r="X3" s="4"/>
      <c r="Y3" s="4"/>
      <c r="Z3" s="4"/>
      <c r="AA3" s="4"/>
    </row>
    <row r="4" spans="1:27" ht="21.75" customHeight="1">
      <c r="A4" s="4"/>
      <c r="B4" s="7" t="s">
        <v>7</v>
      </c>
      <c r="C4" s="6"/>
      <c r="D4" s="6"/>
      <c r="E4" s="6"/>
      <c r="F4" s="6"/>
      <c r="G4" s="10" t="s">
        <v>8</v>
      </c>
      <c r="H4" s="11">
        <v>2024</v>
      </c>
      <c r="I4" s="12"/>
      <c r="J4" s="4"/>
      <c r="K4" s="13"/>
      <c r="L4" s="14"/>
      <c r="M4" s="14"/>
      <c r="N4" s="14"/>
      <c r="O4" s="14"/>
      <c r="P4" s="14"/>
      <c r="Q4" s="14"/>
      <c r="R4" s="14"/>
      <c r="S4" s="14"/>
      <c r="T4" s="14"/>
      <c r="U4" s="4"/>
      <c r="V4" s="4"/>
      <c r="W4" s="4"/>
      <c r="X4" s="4"/>
      <c r="Y4" s="4"/>
      <c r="Z4" s="4"/>
      <c r="AA4" s="4"/>
    </row>
    <row r="5" spans="1:27" ht="21.75" customHeight="1">
      <c r="A5" s="4"/>
      <c r="B5" s="7" t="s">
        <v>9</v>
      </c>
      <c r="C5" s="6"/>
      <c r="D5" s="6"/>
      <c r="E5" s="6"/>
      <c r="F5" s="6"/>
      <c r="G5" s="10" t="s">
        <v>10</v>
      </c>
      <c r="H5" s="15">
        <f>H4+4</f>
        <v>2028</v>
      </c>
      <c r="I5" s="9"/>
      <c r="J5" s="4"/>
      <c r="K5" s="76" t="s">
        <v>11</v>
      </c>
      <c r="L5" s="73"/>
      <c r="M5" s="73"/>
      <c r="N5" s="73"/>
      <c r="O5" s="73"/>
      <c r="P5" s="73"/>
      <c r="Q5" s="73"/>
      <c r="R5" s="73"/>
      <c r="S5" s="73"/>
      <c r="T5" s="73"/>
      <c r="U5" s="4"/>
      <c r="V5" s="4"/>
      <c r="W5" s="4"/>
      <c r="X5" s="4"/>
      <c r="Y5" s="4"/>
      <c r="Z5" s="4"/>
      <c r="AA5" s="4"/>
    </row>
    <row r="6" spans="1:27" ht="12" customHeight="1">
      <c r="A6" s="4"/>
      <c r="B6" s="7"/>
      <c r="C6" s="6"/>
      <c r="D6" s="16"/>
      <c r="E6" s="6"/>
      <c r="F6" s="6"/>
      <c r="G6" s="17"/>
      <c r="H6" s="18"/>
      <c r="I6" s="9"/>
      <c r="J6" s="4"/>
      <c r="K6" s="73"/>
      <c r="L6" s="73"/>
      <c r="M6" s="73"/>
      <c r="N6" s="73"/>
      <c r="O6" s="73"/>
      <c r="P6" s="73"/>
      <c r="Q6" s="73"/>
      <c r="R6" s="73"/>
      <c r="S6" s="73"/>
      <c r="T6" s="73"/>
      <c r="U6" s="4"/>
      <c r="V6" s="4"/>
      <c r="W6" s="4"/>
      <c r="X6" s="4"/>
      <c r="Y6" s="4"/>
      <c r="Z6" s="4"/>
      <c r="AA6" s="4"/>
    </row>
    <row r="7" spans="1:27" ht="16.5" customHeight="1">
      <c r="A7" s="4"/>
      <c r="B7" s="7"/>
      <c r="C7" s="6"/>
      <c r="D7" s="77" t="s">
        <v>12</v>
      </c>
      <c r="E7" s="78"/>
      <c r="F7" s="78"/>
      <c r="G7" s="78"/>
      <c r="H7" s="79"/>
      <c r="I7" s="9"/>
      <c r="J7" s="4"/>
      <c r="K7" s="73"/>
      <c r="L7" s="73"/>
      <c r="M7" s="73"/>
      <c r="N7" s="73"/>
      <c r="O7" s="73"/>
      <c r="P7" s="73"/>
      <c r="Q7" s="73"/>
      <c r="R7" s="73"/>
      <c r="S7" s="73"/>
      <c r="T7" s="73"/>
      <c r="U7" s="4"/>
      <c r="V7" s="4"/>
      <c r="W7" s="4"/>
      <c r="X7" s="4"/>
      <c r="Y7" s="4"/>
      <c r="Z7" s="4"/>
      <c r="AA7" s="4"/>
    </row>
    <row r="8" spans="1:27" ht="1.5" customHeight="1">
      <c r="A8" s="4"/>
      <c r="B8" s="4"/>
      <c r="C8" s="6"/>
      <c r="D8" s="6"/>
      <c r="E8" s="6"/>
      <c r="F8" s="6"/>
      <c r="G8" s="19"/>
      <c r="H8" s="19"/>
      <c r="I8" s="9"/>
      <c r="J8" s="4"/>
      <c r="K8" s="73"/>
      <c r="L8" s="73"/>
      <c r="M8" s="73"/>
      <c r="N8" s="73"/>
      <c r="O8" s="73"/>
      <c r="P8" s="73"/>
      <c r="Q8" s="73"/>
      <c r="R8" s="73"/>
      <c r="S8" s="73"/>
      <c r="T8" s="73"/>
      <c r="U8" s="4"/>
      <c r="V8" s="4"/>
      <c r="W8" s="4"/>
      <c r="X8" s="4"/>
      <c r="Y8" s="4"/>
      <c r="Z8" s="4"/>
      <c r="AA8" s="4"/>
    </row>
    <row r="9" spans="1:27" ht="21.75" customHeight="1">
      <c r="A9" s="4"/>
      <c r="B9" s="20" t="s">
        <v>13</v>
      </c>
      <c r="C9" s="21" t="s">
        <v>14</v>
      </c>
      <c r="D9" s="22">
        <f>H4</f>
        <v>2024</v>
      </c>
      <c r="E9" s="22">
        <f>D9+1</f>
        <v>2025</v>
      </c>
      <c r="F9" s="22">
        <f>D9+2</f>
        <v>2026</v>
      </c>
      <c r="G9" s="22">
        <f>D9+3</f>
        <v>2027</v>
      </c>
      <c r="H9" s="22">
        <f>D9+4</f>
        <v>2028</v>
      </c>
      <c r="I9" s="23"/>
      <c r="J9" s="4"/>
      <c r="K9" s="73"/>
      <c r="L9" s="73"/>
      <c r="M9" s="73"/>
      <c r="N9" s="73"/>
      <c r="O9" s="73"/>
      <c r="P9" s="73"/>
      <c r="Q9" s="73"/>
      <c r="R9" s="73"/>
      <c r="S9" s="73"/>
      <c r="T9" s="73"/>
      <c r="U9" s="4"/>
      <c r="V9" s="4"/>
      <c r="W9" s="4"/>
      <c r="X9" s="4"/>
      <c r="Y9" s="4"/>
      <c r="Z9" s="4"/>
      <c r="AA9" s="4"/>
    </row>
    <row r="10" spans="1:27" ht="21.75" customHeight="1">
      <c r="A10" s="4"/>
      <c r="B10" s="7" t="s">
        <v>15</v>
      </c>
      <c r="C10" s="24"/>
      <c r="D10" s="25">
        <v>87000</v>
      </c>
      <c r="E10" s="25">
        <v>65000</v>
      </c>
      <c r="F10" s="25">
        <v>45000</v>
      </c>
      <c r="G10" s="25">
        <v>150000</v>
      </c>
      <c r="H10" s="25">
        <v>205000</v>
      </c>
      <c r="I10" s="4"/>
      <c r="J10" s="4"/>
      <c r="K10" s="26"/>
      <c r="L10" s="4"/>
      <c r="M10" s="4"/>
      <c r="N10" s="4"/>
      <c r="O10" s="4"/>
      <c r="P10" s="4"/>
      <c r="Q10" s="4"/>
      <c r="R10" s="4"/>
      <c r="S10" s="4"/>
      <c r="T10" s="4"/>
      <c r="U10" s="4"/>
      <c r="V10" s="4"/>
      <c r="W10" s="4"/>
      <c r="X10" s="4"/>
      <c r="Y10" s="4"/>
      <c r="Z10" s="4"/>
      <c r="AA10" s="4"/>
    </row>
    <row r="11" spans="1:27" ht="21.75" customHeight="1">
      <c r="A11" s="4"/>
      <c r="B11" s="7" t="s">
        <v>16</v>
      </c>
      <c r="C11" s="24"/>
      <c r="D11" s="27">
        <v>-5000</v>
      </c>
      <c r="E11" s="27">
        <v>-5500</v>
      </c>
      <c r="F11" s="27">
        <v>-1000</v>
      </c>
      <c r="G11" s="27">
        <v>-6500</v>
      </c>
      <c r="H11" s="27">
        <v>-7000</v>
      </c>
      <c r="I11" s="4"/>
      <c r="J11" s="4"/>
      <c r="K11" s="26"/>
      <c r="L11" s="4"/>
      <c r="M11" s="4"/>
      <c r="N11" s="4"/>
      <c r="O11" s="4"/>
      <c r="P11" s="4"/>
      <c r="Q11" s="4"/>
      <c r="R11" s="4"/>
      <c r="S11" s="4"/>
      <c r="T11" s="4"/>
      <c r="U11" s="4"/>
      <c r="V11" s="4"/>
      <c r="W11" s="4"/>
      <c r="X11" s="4"/>
      <c r="Y11" s="4"/>
      <c r="Z11" s="4"/>
      <c r="AA11" s="4"/>
    </row>
    <row r="12" spans="1:27" ht="21.75" customHeight="1">
      <c r="A12" s="4"/>
      <c r="B12" s="7" t="s">
        <v>17</v>
      </c>
      <c r="C12" s="24"/>
      <c r="D12" s="28">
        <v>-1000</v>
      </c>
      <c r="E12" s="28">
        <v>-50</v>
      </c>
      <c r="F12" s="28">
        <v>-600</v>
      </c>
      <c r="G12" s="28">
        <v>-700</v>
      </c>
      <c r="H12" s="28">
        <v>-800</v>
      </c>
      <c r="I12" s="4"/>
      <c r="J12" s="4"/>
      <c r="K12" s="4"/>
      <c r="L12" s="4"/>
      <c r="M12" s="4"/>
      <c r="N12" s="4"/>
      <c r="O12" s="4"/>
      <c r="P12" s="4"/>
      <c r="Q12" s="4"/>
      <c r="R12" s="4"/>
      <c r="S12" s="4"/>
      <c r="T12" s="4"/>
      <c r="U12" s="4"/>
      <c r="V12" s="4"/>
      <c r="W12" s="4"/>
      <c r="X12" s="4"/>
      <c r="Y12" s="4"/>
      <c r="Z12" s="4"/>
      <c r="AA12" s="4"/>
    </row>
    <row r="13" spans="1:27" ht="21.75" customHeight="1">
      <c r="A13" s="4"/>
      <c r="B13" s="29" t="s">
        <v>18</v>
      </c>
      <c r="C13" s="30"/>
      <c r="D13" s="31">
        <f t="shared" ref="D13:H13" si="0">SUM(D10:D12)</f>
        <v>81000</v>
      </c>
      <c r="E13" s="31">
        <f t="shared" si="0"/>
        <v>59450</v>
      </c>
      <c r="F13" s="31">
        <f t="shared" si="0"/>
        <v>43400</v>
      </c>
      <c r="G13" s="31">
        <f t="shared" si="0"/>
        <v>142800</v>
      </c>
      <c r="H13" s="31">
        <f t="shared" si="0"/>
        <v>197200</v>
      </c>
      <c r="I13" s="4"/>
      <c r="J13" s="4"/>
      <c r="K13" s="4"/>
      <c r="L13" s="4"/>
      <c r="M13" s="4"/>
      <c r="N13" s="4"/>
      <c r="O13" s="4"/>
      <c r="P13" s="4"/>
      <c r="Q13" s="4"/>
      <c r="R13" s="4"/>
      <c r="S13" s="4"/>
      <c r="T13" s="4"/>
      <c r="U13" s="4"/>
      <c r="V13" s="4"/>
      <c r="W13" s="4"/>
      <c r="X13" s="4"/>
      <c r="Y13" s="4"/>
      <c r="Z13" s="4"/>
      <c r="AA13" s="4"/>
    </row>
    <row r="14" spans="1:27" ht="8.25" customHeight="1">
      <c r="A14" s="4"/>
      <c r="B14" s="7"/>
      <c r="C14" s="6"/>
      <c r="D14" s="6"/>
      <c r="E14" s="6"/>
      <c r="F14" s="6"/>
      <c r="G14" s="6"/>
      <c r="H14" s="6"/>
      <c r="I14" s="4"/>
      <c r="J14" s="4"/>
      <c r="K14" s="4"/>
      <c r="L14" s="4"/>
      <c r="M14" s="4"/>
      <c r="N14" s="4"/>
      <c r="O14" s="4"/>
      <c r="P14" s="4"/>
      <c r="Q14" s="4"/>
      <c r="R14" s="4"/>
      <c r="S14" s="4"/>
      <c r="T14" s="4"/>
      <c r="U14" s="4"/>
      <c r="V14" s="4"/>
      <c r="W14" s="4"/>
      <c r="X14" s="4"/>
      <c r="Y14" s="4"/>
      <c r="Z14" s="4"/>
      <c r="AA14" s="4"/>
    </row>
    <row r="15" spans="1:27" ht="21.75" customHeight="1">
      <c r="A15" s="4"/>
      <c r="B15" s="20" t="s">
        <v>19</v>
      </c>
      <c r="C15" s="32"/>
      <c r="D15" s="22">
        <f t="shared" ref="D15:H15" si="1">D9</f>
        <v>2024</v>
      </c>
      <c r="E15" s="22">
        <f t="shared" si="1"/>
        <v>2025</v>
      </c>
      <c r="F15" s="22">
        <f t="shared" si="1"/>
        <v>2026</v>
      </c>
      <c r="G15" s="22">
        <f t="shared" si="1"/>
        <v>2027</v>
      </c>
      <c r="H15" s="22">
        <f t="shared" si="1"/>
        <v>2028</v>
      </c>
      <c r="I15" s="4"/>
      <c r="J15" s="4"/>
      <c r="K15" s="4"/>
      <c r="L15" s="4"/>
      <c r="M15" s="4"/>
      <c r="N15" s="4"/>
      <c r="O15" s="4"/>
      <c r="P15" s="4"/>
      <c r="Q15" s="4"/>
      <c r="R15" s="4"/>
      <c r="S15" s="4"/>
      <c r="T15" s="4"/>
      <c r="U15" s="4"/>
      <c r="V15" s="4"/>
      <c r="W15" s="4"/>
      <c r="X15" s="4"/>
      <c r="Y15" s="4"/>
      <c r="Z15" s="4"/>
      <c r="AA15" s="4"/>
    </row>
    <row r="16" spans="1:27" ht="21.75" customHeight="1">
      <c r="A16" s="33"/>
      <c r="B16" s="7" t="s">
        <v>20</v>
      </c>
      <c r="C16" s="24"/>
      <c r="D16" s="34">
        <v>6700</v>
      </c>
      <c r="E16" s="34">
        <v>5000</v>
      </c>
      <c r="F16" s="34">
        <v>20000</v>
      </c>
      <c r="G16" s="34">
        <v>25000</v>
      </c>
      <c r="H16" s="34">
        <v>30000</v>
      </c>
      <c r="I16" s="35"/>
      <c r="J16" s="4"/>
      <c r="K16" s="33"/>
      <c r="L16" s="33"/>
      <c r="M16" s="33"/>
      <c r="N16" s="33"/>
      <c r="O16" s="33"/>
      <c r="P16" s="33"/>
      <c r="Q16" s="33"/>
      <c r="R16" s="33"/>
      <c r="S16" s="33"/>
      <c r="T16" s="33"/>
      <c r="U16" s="33"/>
      <c r="V16" s="33"/>
      <c r="W16" s="33"/>
      <c r="X16" s="33"/>
      <c r="Y16" s="33"/>
      <c r="Z16" s="33"/>
      <c r="AA16" s="33"/>
    </row>
    <row r="17" spans="1:27" ht="21.75" customHeight="1">
      <c r="A17" s="4"/>
      <c r="B17" s="29" t="s">
        <v>21</v>
      </c>
      <c r="C17" s="31"/>
      <c r="D17" s="31">
        <f t="shared" ref="D17:H17" si="2">D16</f>
        <v>6700</v>
      </c>
      <c r="E17" s="31">
        <f t="shared" si="2"/>
        <v>5000</v>
      </c>
      <c r="F17" s="31">
        <f t="shared" si="2"/>
        <v>20000</v>
      </c>
      <c r="G17" s="31">
        <f t="shared" si="2"/>
        <v>25000</v>
      </c>
      <c r="H17" s="31">
        <f t="shared" si="2"/>
        <v>30000</v>
      </c>
      <c r="I17" s="4"/>
      <c r="J17" s="4"/>
      <c r="K17" s="4"/>
      <c r="L17" s="4"/>
      <c r="M17" s="4"/>
      <c r="N17" s="4"/>
      <c r="O17" s="4"/>
      <c r="P17" s="4"/>
      <c r="Q17" s="4"/>
      <c r="R17" s="4"/>
      <c r="S17" s="4"/>
      <c r="T17" s="4"/>
      <c r="U17" s="4"/>
      <c r="V17" s="4"/>
      <c r="W17" s="4"/>
      <c r="X17" s="4"/>
      <c r="Y17" s="4"/>
      <c r="Z17" s="4"/>
      <c r="AA17" s="4"/>
    </row>
    <row r="18" spans="1:27" ht="10.5" customHeight="1">
      <c r="A18" s="4"/>
      <c r="B18" s="7"/>
      <c r="C18" s="6"/>
      <c r="D18" s="6"/>
      <c r="E18" s="6"/>
      <c r="F18" s="6"/>
      <c r="G18" s="6"/>
      <c r="H18" s="6"/>
      <c r="I18" s="36"/>
      <c r="J18" s="4"/>
      <c r="K18" s="4"/>
      <c r="L18" s="4"/>
      <c r="M18" s="4"/>
      <c r="N18" s="4"/>
      <c r="O18" s="4"/>
      <c r="P18" s="4"/>
      <c r="Q18" s="4"/>
      <c r="R18" s="4"/>
      <c r="S18" s="4"/>
      <c r="T18" s="4"/>
      <c r="U18" s="4"/>
      <c r="V18" s="4"/>
      <c r="W18" s="4"/>
      <c r="X18" s="4"/>
      <c r="Y18" s="4"/>
      <c r="Z18" s="4"/>
      <c r="AA18" s="4"/>
    </row>
    <row r="19" spans="1:27" ht="21.75" customHeight="1">
      <c r="A19" s="4"/>
      <c r="B19" s="37" t="s">
        <v>22</v>
      </c>
      <c r="C19" s="38"/>
      <c r="D19" s="38">
        <f t="shared" ref="D19:H19" si="3">D13-D17</f>
        <v>74300</v>
      </c>
      <c r="E19" s="38">
        <f t="shared" si="3"/>
        <v>54450</v>
      </c>
      <c r="F19" s="38">
        <f t="shared" si="3"/>
        <v>23400</v>
      </c>
      <c r="G19" s="38">
        <f t="shared" si="3"/>
        <v>117800</v>
      </c>
      <c r="H19" s="38">
        <f t="shared" si="3"/>
        <v>167200</v>
      </c>
      <c r="I19" s="36"/>
      <c r="J19" s="4"/>
      <c r="K19" s="4"/>
      <c r="L19" s="4"/>
      <c r="M19" s="4"/>
      <c r="N19" s="4"/>
      <c r="O19" s="4"/>
      <c r="P19" s="4"/>
      <c r="Q19" s="4"/>
      <c r="R19" s="4"/>
      <c r="S19" s="4"/>
      <c r="T19" s="4"/>
      <c r="U19" s="4"/>
      <c r="V19" s="4"/>
      <c r="W19" s="4"/>
      <c r="X19" s="4"/>
      <c r="Y19" s="4"/>
      <c r="Z19" s="4"/>
      <c r="AA19" s="4"/>
    </row>
    <row r="20" spans="1:27" ht="10.5" customHeight="1">
      <c r="A20" s="4"/>
      <c r="B20" s="7"/>
      <c r="C20" s="6"/>
      <c r="D20" s="6"/>
      <c r="E20" s="6"/>
      <c r="F20" s="6"/>
      <c r="G20" s="6"/>
      <c r="H20" s="6"/>
      <c r="I20" s="36"/>
      <c r="J20" s="4"/>
      <c r="K20" s="4"/>
      <c r="L20" s="4"/>
      <c r="M20" s="4"/>
      <c r="N20" s="4"/>
      <c r="O20" s="4"/>
      <c r="P20" s="4"/>
      <c r="Q20" s="4"/>
      <c r="R20" s="4"/>
      <c r="S20" s="4"/>
      <c r="T20" s="4"/>
      <c r="U20" s="4"/>
      <c r="V20" s="4"/>
      <c r="W20" s="4"/>
      <c r="X20" s="4"/>
      <c r="Y20" s="4"/>
      <c r="Z20" s="4"/>
      <c r="AA20" s="4"/>
    </row>
    <row r="21" spans="1:27" ht="21.75" customHeight="1">
      <c r="A21" s="4"/>
      <c r="B21" s="20" t="s">
        <v>23</v>
      </c>
      <c r="C21" s="32"/>
      <c r="D21" s="22">
        <f>D9</f>
        <v>2024</v>
      </c>
      <c r="E21" s="22">
        <f>E9</f>
        <v>2025</v>
      </c>
      <c r="F21" s="22">
        <f>F9</f>
        <v>2026</v>
      </c>
      <c r="G21" s="22">
        <f>G9</f>
        <v>2027</v>
      </c>
      <c r="H21" s="22">
        <f>H9</f>
        <v>2028</v>
      </c>
      <c r="I21" s="36"/>
      <c r="J21" s="4"/>
      <c r="K21" s="4"/>
      <c r="L21" s="4"/>
      <c r="M21" s="4"/>
      <c r="N21" s="4"/>
      <c r="O21" s="4"/>
      <c r="P21" s="4"/>
      <c r="Q21" s="4"/>
      <c r="R21" s="4"/>
      <c r="S21" s="4"/>
      <c r="T21" s="4"/>
      <c r="U21" s="4"/>
      <c r="V21" s="4"/>
      <c r="W21" s="4"/>
      <c r="X21" s="4"/>
      <c r="Y21" s="4"/>
      <c r="Z21" s="4"/>
      <c r="AA21" s="4"/>
    </row>
    <row r="22" spans="1:27" ht="21.75" customHeight="1">
      <c r="A22" s="4"/>
      <c r="B22" s="7" t="s">
        <v>24</v>
      </c>
      <c r="C22" s="24"/>
      <c r="D22" s="25">
        <v>500</v>
      </c>
      <c r="E22" s="25">
        <v>600</v>
      </c>
      <c r="F22" s="25">
        <v>100</v>
      </c>
      <c r="G22" s="25">
        <v>800</v>
      </c>
      <c r="H22" s="25">
        <v>900</v>
      </c>
      <c r="I22" s="36"/>
      <c r="J22" s="4"/>
      <c r="K22" s="4"/>
      <c r="L22" s="4"/>
      <c r="M22" s="4"/>
      <c r="N22" s="4"/>
      <c r="O22" s="4"/>
      <c r="P22" s="4"/>
      <c r="Q22" s="4"/>
      <c r="R22" s="4"/>
      <c r="S22" s="4"/>
      <c r="T22" s="4"/>
      <c r="U22" s="4"/>
      <c r="V22" s="4"/>
      <c r="W22" s="4"/>
      <c r="X22" s="4"/>
      <c r="Y22" s="4"/>
      <c r="Z22" s="4"/>
      <c r="AA22" s="4"/>
    </row>
    <row r="23" spans="1:27" ht="21.75" customHeight="1">
      <c r="A23" s="4"/>
      <c r="B23" s="7" t="s">
        <v>25</v>
      </c>
      <c r="C23" s="24"/>
      <c r="D23" s="25">
        <v>1500</v>
      </c>
      <c r="E23" s="25">
        <v>500</v>
      </c>
      <c r="F23" s="25">
        <v>3500</v>
      </c>
      <c r="G23" s="25">
        <v>4500</v>
      </c>
      <c r="H23" s="25">
        <v>5500</v>
      </c>
      <c r="I23" s="36"/>
      <c r="J23" s="4"/>
      <c r="K23" s="4"/>
      <c r="L23" s="4"/>
      <c r="M23" s="4"/>
      <c r="N23" s="4"/>
      <c r="O23" s="4"/>
      <c r="P23" s="4"/>
      <c r="Q23" s="4"/>
      <c r="R23" s="4"/>
      <c r="S23" s="4"/>
      <c r="T23" s="4"/>
      <c r="U23" s="4"/>
      <c r="V23" s="4"/>
      <c r="W23" s="4"/>
      <c r="X23" s="4"/>
      <c r="Y23" s="4"/>
      <c r="Z23" s="4"/>
      <c r="AA23" s="4"/>
    </row>
    <row r="24" spans="1:27" ht="21.75" customHeight="1">
      <c r="A24" s="4"/>
      <c r="B24" s="7" t="s">
        <v>26</v>
      </c>
      <c r="C24" s="24"/>
      <c r="D24" s="25">
        <v>100</v>
      </c>
      <c r="E24" s="25">
        <v>600</v>
      </c>
      <c r="F24" s="25">
        <v>300</v>
      </c>
      <c r="G24" s="25">
        <v>200</v>
      </c>
      <c r="H24" s="25">
        <v>1000</v>
      </c>
      <c r="I24" s="36"/>
      <c r="J24" s="4"/>
      <c r="K24" s="4"/>
      <c r="L24" s="4"/>
      <c r="M24" s="4"/>
      <c r="N24" s="4"/>
      <c r="O24" s="4"/>
      <c r="P24" s="4"/>
      <c r="Q24" s="4"/>
      <c r="R24" s="4"/>
      <c r="S24" s="4"/>
      <c r="T24" s="4"/>
      <c r="U24" s="4"/>
      <c r="V24" s="4"/>
      <c r="W24" s="4"/>
      <c r="X24" s="4"/>
      <c r="Y24" s="4"/>
      <c r="Z24" s="4"/>
      <c r="AA24" s="4"/>
    </row>
    <row r="25" spans="1:27" ht="21.75" customHeight="1">
      <c r="A25" s="4"/>
      <c r="B25" s="39" t="s">
        <v>27</v>
      </c>
      <c r="C25" s="24"/>
      <c r="D25" s="25">
        <v>100</v>
      </c>
      <c r="E25" s="25">
        <v>360</v>
      </c>
      <c r="F25" s="25">
        <v>300</v>
      </c>
      <c r="G25" s="25">
        <v>400</v>
      </c>
      <c r="H25" s="25">
        <v>500</v>
      </c>
      <c r="I25" s="36"/>
      <c r="J25" s="4"/>
      <c r="K25" s="4"/>
      <c r="L25" s="4"/>
      <c r="M25" s="4"/>
      <c r="N25" s="4"/>
      <c r="O25" s="4"/>
      <c r="P25" s="4"/>
      <c r="Q25" s="4"/>
      <c r="R25" s="4"/>
      <c r="S25" s="4"/>
      <c r="T25" s="4"/>
      <c r="U25" s="4"/>
      <c r="V25" s="4"/>
      <c r="W25" s="4"/>
      <c r="X25" s="4"/>
      <c r="Y25" s="4"/>
      <c r="Z25" s="4"/>
      <c r="AA25" s="4"/>
    </row>
    <row r="26" spans="1:27" ht="21.75" customHeight="1">
      <c r="A26" s="4"/>
      <c r="B26" s="39" t="s">
        <v>28</v>
      </c>
      <c r="C26" s="24"/>
      <c r="D26" s="25">
        <v>250</v>
      </c>
      <c r="E26" s="25">
        <v>100</v>
      </c>
      <c r="F26" s="25">
        <v>450</v>
      </c>
      <c r="G26" s="25">
        <v>100</v>
      </c>
      <c r="H26" s="25">
        <v>650</v>
      </c>
      <c r="I26" s="36"/>
      <c r="J26" s="4"/>
      <c r="K26" s="4"/>
      <c r="L26" s="4"/>
      <c r="M26" s="4"/>
      <c r="N26" s="4"/>
      <c r="O26" s="4"/>
      <c r="P26" s="4"/>
      <c r="Q26" s="4"/>
      <c r="R26" s="4"/>
      <c r="S26" s="4"/>
      <c r="T26" s="4"/>
      <c r="U26" s="4"/>
      <c r="V26" s="4"/>
      <c r="W26" s="4"/>
      <c r="X26" s="4"/>
      <c r="Y26" s="4"/>
      <c r="Z26" s="4"/>
      <c r="AA26" s="4"/>
    </row>
    <row r="27" spans="1:27" ht="21.75" customHeight="1">
      <c r="A27" s="4"/>
      <c r="B27" s="39" t="s">
        <v>29</v>
      </c>
      <c r="C27" s="24"/>
      <c r="D27" s="25">
        <v>50</v>
      </c>
      <c r="E27" s="25">
        <v>55</v>
      </c>
      <c r="F27" s="25">
        <v>60</v>
      </c>
      <c r="G27" s="25">
        <v>65</v>
      </c>
      <c r="H27" s="25">
        <v>75</v>
      </c>
      <c r="I27" s="36"/>
      <c r="J27" s="4"/>
      <c r="K27" s="4"/>
      <c r="L27" s="4"/>
      <c r="M27" s="4"/>
      <c r="N27" s="4"/>
      <c r="O27" s="4"/>
      <c r="P27" s="4"/>
      <c r="Q27" s="4"/>
      <c r="R27" s="4"/>
      <c r="S27" s="4"/>
      <c r="T27" s="4"/>
      <c r="U27" s="4"/>
      <c r="V27" s="4"/>
      <c r="W27" s="4"/>
      <c r="X27" s="4"/>
      <c r="Y27" s="4"/>
      <c r="Z27" s="4"/>
      <c r="AA27" s="4"/>
    </row>
    <row r="28" spans="1:27" ht="21.75" customHeight="1">
      <c r="A28" s="4"/>
      <c r="B28" s="7" t="s">
        <v>30</v>
      </c>
      <c r="C28" s="24"/>
      <c r="D28" s="25">
        <v>1500</v>
      </c>
      <c r="E28" s="25">
        <v>1150</v>
      </c>
      <c r="F28" s="25">
        <v>1600</v>
      </c>
      <c r="G28" s="25">
        <v>1800</v>
      </c>
      <c r="H28" s="25">
        <v>2000</v>
      </c>
      <c r="I28" s="36"/>
      <c r="J28" s="4"/>
      <c r="K28" s="4"/>
      <c r="L28" s="4"/>
      <c r="M28" s="4"/>
      <c r="N28" s="4"/>
      <c r="O28" s="4"/>
      <c r="P28" s="4"/>
      <c r="Q28" s="4"/>
      <c r="R28" s="4"/>
      <c r="S28" s="4"/>
      <c r="T28" s="4"/>
      <c r="U28" s="4"/>
      <c r="V28" s="4"/>
      <c r="W28" s="4"/>
      <c r="X28" s="4"/>
      <c r="Y28" s="4"/>
      <c r="Z28" s="4"/>
      <c r="AA28" s="4"/>
    </row>
    <row r="29" spans="1:27" ht="21.75" customHeight="1">
      <c r="A29" s="4"/>
      <c r="B29" s="7" t="s">
        <v>31</v>
      </c>
      <c r="C29" s="24"/>
      <c r="D29" s="25">
        <v>1500</v>
      </c>
      <c r="E29" s="25">
        <v>1000</v>
      </c>
      <c r="F29" s="25">
        <v>1500</v>
      </c>
      <c r="G29" s="25">
        <v>250</v>
      </c>
      <c r="H29" s="25">
        <v>3500</v>
      </c>
      <c r="I29" s="36"/>
      <c r="J29" s="4"/>
      <c r="K29" s="4"/>
      <c r="L29" s="4"/>
      <c r="M29" s="4"/>
      <c r="N29" s="4"/>
      <c r="O29" s="4"/>
      <c r="P29" s="4"/>
      <c r="Q29" s="4"/>
      <c r="R29" s="4"/>
      <c r="S29" s="4"/>
      <c r="T29" s="4"/>
      <c r="U29" s="4"/>
      <c r="V29" s="4"/>
      <c r="W29" s="4"/>
      <c r="X29" s="4"/>
      <c r="Y29" s="4"/>
      <c r="Z29" s="4"/>
      <c r="AA29" s="4"/>
    </row>
    <row r="30" spans="1:27" ht="21.75" customHeight="1">
      <c r="A30" s="4"/>
      <c r="B30" s="7" t="s">
        <v>32</v>
      </c>
      <c r="C30" s="24"/>
      <c r="D30" s="25">
        <v>250</v>
      </c>
      <c r="E30" s="25">
        <v>110</v>
      </c>
      <c r="F30" s="25">
        <v>75</v>
      </c>
      <c r="G30" s="25">
        <v>85</v>
      </c>
      <c r="H30" s="25">
        <v>50</v>
      </c>
      <c r="I30" s="36"/>
      <c r="J30" s="4"/>
      <c r="K30" s="4"/>
      <c r="L30" s="4"/>
      <c r="M30" s="4"/>
      <c r="N30" s="4"/>
      <c r="O30" s="4"/>
      <c r="P30" s="4"/>
      <c r="Q30" s="4"/>
      <c r="R30" s="4"/>
      <c r="S30" s="4"/>
      <c r="T30" s="4"/>
      <c r="U30" s="4"/>
      <c r="V30" s="4"/>
      <c r="W30" s="4"/>
      <c r="X30" s="4"/>
      <c r="Y30" s="4"/>
      <c r="Z30" s="4"/>
      <c r="AA30" s="4"/>
    </row>
    <row r="31" spans="1:27" ht="21.75" customHeight="1">
      <c r="A31" s="4"/>
      <c r="B31" s="7" t="s">
        <v>33</v>
      </c>
      <c r="C31" s="24"/>
      <c r="D31" s="25">
        <v>1000</v>
      </c>
      <c r="E31" s="25">
        <v>100</v>
      </c>
      <c r="F31" s="25">
        <v>250</v>
      </c>
      <c r="G31" s="25">
        <v>75</v>
      </c>
      <c r="H31" s="25">
        <v>1000</v>
      </c>
      <c r="I31" s="36"/>
      <c r="J31" s="4"/>
      <c r="K31" s="4"/>
      <c r="L31" s="4"/>
      <c r="M31" s="4"/>
      <c r="N31" s="4"/>
      <c r="O31" s="4"/>
      <c r="P31" s="4"/>
      <c r="Q31" s="4"/>
      <c r="R31" s="4"/>
      <c r="S31" s="4"/>
      <c r="T31" s="4"/>
      <c r="U31" s="4"/>
      <c r="V31" s="4"/>
      <c r="W31" s="4"/>
      <c r="X31" s="4"/>
      <c r="Y31" s="4"/>
      <c r="Z31" s="4"/>
      <c r="AA31" s="4"/>
    </row>
    <row r="32" spans="1:27" ht="21.75" customHeight="1">
      <c r="A32" s="4"/>
      <c r="B32" s="7" t="s">
        <v>34</v>
      </c>
      <c r="C32" s="24"/>
      <c r="D32" s="25">
        <v>150</v>
      </c>
      <c r="E32" s="25">
        <v>55</v>
      </c>
      <c r="F32" s="25">
        <v>75</v>
      </c>
      <c r="G32" s="25">
        <v>800</v>
      </c>
      <c r="H32" s="25">
        <v>150</v>
      </c>
      <c r="I32" s="36"/>
      <c r="J32" s="4"/>
      <c r="K32" s="4"/>
      <c r="L32" s="4"/>
      <c r="M32" s="4"/>
      <c r="N32" s="4"/>
      <c r="O32" s="4"/>
      <c r="P32" s="4"/>
      <c r="Q32" s="4"/>
      <c r="R32" s="4"/>
      <c r="S32" s="4"/>
      <c r="T32" s="4"/>
      <c r="U32" s="4"/>
      <c r="V32" s="4"/>
      <c r="W32" s="4"/>
      <c r="X32" s="4"/>
      <c r="Y32" s="4"/>
      <c r="Z32" s="4"/>
      <c r="AA32" s="4"/>
    </row>
    <row r="33" spans="1:27" ht="21.75" customHeight="1">
      <c r="A33" s="4"/>
      <c r="B33" s="7" t="s">
        <v>35</v>
      </c>
      <c r="C33" s="24"/>
      <c r="D33" s="25">
        <v>1000</v>
      </c>
      <c r="E33" s="25">
        <v>1100</v>
      </c>
      <c r="F33" s="25">
        <v>1210</v>
      </c>
      <c r="G33" s="25">
        <v>1331</v>
      </c>
      <c r="H33" s="25">
        <v>1464.1</v>
      </c>
      <c r="I33" s="36"/>
      <c r="J33" s="4"/>
      <c r="K33" s="4"/>
      <c r="L33" s="4"/>
      <c r="M33" s="4"/>
      <c r="N33" s="4"/>
      <c r="O33" s="4"/>
      <c r="P33" s="4"/>
      <c r="Q33" s="4"/>
      <c r="R33" s="4"/>
      <c r="S33" s="4"/>
      <c r="T33" s="4"/>
      <c r="U33" s="4"/>
      <c r="V33" s="4"/>
      <c r="W33" s="4"/>
      <c r="X33" s="4"/>
      <c r="Y33" s="4"/>
      <c r="Z33" s="4"/>
      <c r="AA33" s="4"/>
    </row>
    <row r="34" spans="1:27" ht="21.75" customHeight="1">
      <c r="A34" s="4"/>
      <c r="B34" s="39" t="s">
        <v>36</v>
      </c>
      <c r="C34" s="24"/>
      <c r="D34" s="25">
        <v>2500</v>
      </c>
      <c r="E34" s="25">
        <v>2750</v>
      </c>
      <c r="F34" s="25">
        <v>1000</v>
      </c>
      <c r="G34" s="25">
        <v>1100</v>
      </c>
      <c r="H34" s="25">
        <v>1210</v>
      </c>
      <c r="I34" s="36"/>
      <c r="J34" s="4"/>
      <c r="K34" s="4"/>
      <c r="L34" s="4"/>
      <c r="M34" s="4"/>
      <c r="N34" s="4"/>
      <c r="O34" s="4"/>
      <c r="P34" s="4"/>
      <c r="Q34" s="4"/>
      <c r="R34" s="4"/>
      <c r="S34" s="4"/>
      <c r="T34" s="4"/>
      <c r="U34" s="4"/>
      <c r="V34" s="4"/>
      <c r="W34" s="4"/>
      <c r="X34" s="4"/>
      <c r="Y34" s="4"/>
      <c r="Z34" s="4"/>
      <c r="AA34" s="4"/>
    </row>
    <row r="35" spans="1:27" ht="21.75" customHeight="1">
      <c r="A35" s="4"/>
      <c r="B35" s="39" t="s">
        <v>37</v>
      </c>
      <c r="C35" s="24"/>
      <c r="D35" s="25">
        <v>150</v>
      </c>
      <c r="E35" s="25">
        <v>110</v>
      </c>
      <c r="F35" s="25">
        <v>450</v>
      </c>
      <c r="G35" s="25">
        <v>115</v>
      </c>
      <c r="H35" s="25">
        <v>50</v>
      </c>
      <c r="I35" s="36"/>
      <c r="J35" s="4"/>
      <c r="K35" s="4"/>
      <c r="L35" s="4"/>
      <c r="M35" s="4"/>
      <c r="N35" s="4"/>
      <c r="O35" s="4"/>
      <c r="P35" s="4"/>
      <c r="Q35" s="4"/>
      <c r="R35" s="4"/>
      <c r="S35" s="4"/>
      <c r="T35" s="4"/>
      <c r="U35" s="4"/>
      <c r="V35" s="4"/>
      <c r="W35" s="4"/>
      <c r="X35" s="4"/>
      <c r="Y35" s="4"/>
      <c r="Z35" s="4"/>
      <c r="AA35" s="4"/>
    </row>
    <row r="36" spans="1:27" ht="21.75" customHeight="1">
      <c r="A36" s="4"/>
      <c r="B36" s="39" t="s">
        <v>38</v>
      </c>
      <c r="C36" s="24"/>
      <c r="D36" s="25">
        <v>250</v>
      </c>
      <c r="E36" s="25">
        <v>275</v>
      </c>
      <c r="F36" s="25">
        <v>302.5</v>
      </c>
      <c r="G36" s="25">
        <v>332.75</v>
      </c>
      <c r="H36" s="25">
        <v>366.03</v>
      </c>
      <c r="I36" s="36"/>
      <c r="J36" s="4"/>
      <c r="K36" s="4"/>
      <c r="L36" s="4"/>
      <c r="M36" s="4"/>
      <c r="N36" s="4"/>
      <c r="O36" s="4"/>
      <c r="P36" s="4"/>
      <c r="Q36" s="4"/>
      <c r="R36" s="4"/>
      <c r="S36" s="4"/>
      <c r="T36" s="4"/>
      <c r="U36" s="4"/>
      <c r="V36" s="4"/>
      <c r="W36" s="4"/>
      <c r="X36" s="4"/>
      <c r="Y36" s="4"/>
      <c r="Z36" s="4"/>
      <c r="AA36" s="4"/>
    </row>
    <row r="37" spans="1:27" ht="21.75" customHeight="1">
      <c r="A37" s="4"/>
      <c r="B37" s="39" t="s">
        <v>39</v>
      </c>
      <c r="C37" s="24"/>
      <c r="D37" s="25">
        <v>350</v>
      </c>
      <c r="E37" s="25">
        <v>385</v>
      </c>
      <c r="F37" s="25">
        <v>423.5</v>
      </c>
      <c r="G37" s="25">
        <v>465.85</v>
      </c>
      <c r="H37" s="25">
        <v>512.44000000000005</v>
      </c>
      <c r="I37" s="36"/>
      <c r="J37" s="4"/>
      <c r="K37" s="4"/>
      <c r="L37" s="4"/>
      <c r="M37" s="4"/>
      <c r="N37" s="4"/>
      <c r="O37" s="4"/>
      <c r="P37" s="4"/>
      <c r="Q37" s="4"/>
      <c r="R37" s="4"/>
      <c r="S37" s="4"/>
      <c r="T37" s="4"/>
      <c r="U37" s="4"/>
      <c r="V37" s="4"/>
      <c r="W37" s="4"/>
      <c r="X37" s="4"/>
      <c r="Y37" s="4"/>
      <c r="Z37" s="4"/>
      <c r="AA37" s="4"/>
    </row>
    <row r="38" spans="1:27" ht="21.75" customHeight="1">
      <c r="A38" s="4"/>
      <c r="B38" s="39" t="s">
        <v>40</v>
      </c>
      <c r="C38" s="24"/>
      <c r="D38" s="25">
        <v>450</v>
      </c>
      <c r="E38" s="25">
        <v>495</v>
      </c>
      <c r="F38" s="25">
        <v>544.5</v>
      </c>
      <c r="G38" s="25">
        <v>598.95000000000005</v>
      </c>
      <c r="H38" s="25">
        <v>658.85</v>
      </c>
      <c r="I38" s="36"/>
      <c r="J38" s="4"/>
      <c r="K38" s="4"/>
      <c r="L38" s="4"/>
      <c r="M38" s="4"/>
      <c r="N38" s="4"/>
      <c r="O38" s="4"/>
      <c r="P38" s="4"/>
      <c r="Q38" s="4"/>
      <c r="R38" s="4"/>
      <c r="S38" s="4"/>
      <c r="T38" s="4"/>
      <c r="U38" s="4"/>
      <c r="V38" s="4"/>
      <c r="W38" s="4"/>
      <c r="X38" s="4"/>
      <c r="Y38" s="4"/>
      <c r="Z38" s="4"/>
      <c r="AA38" s="4"/>
    </row>
    <row r="39" spans="1:27" ht="21.75" customHeight="1">
      <c r="A39" s="4"/>
      <c r="B39" s="39" t="s">
        <v>41</v>
      </c>
      <c r="C39" s="24"/>
      <c r="D39" s="40">
        <v>550</v>
      </c>
      <c r="E39" s="40">
        <v>450</v>
      </c>
      <c r="F39" s="40">
        <v>150</v>
      </c>
      <c r="G39" s="40">
        <v>250</v>
      </c>
      <c r="H39" s="40">
        <v>110</v>
      </c>
      <c r="I39" s="36"/>
      <c r="J39" s="4"/>
      <c r="K39" s="4"/>
      <c r="L39" s="4"/>
      <c r="M39" s="4"/>
      <c r="N39" s="4"/>
      <c r="O39" s="4"/>
      <c r="P39" s="4"/>
      <c r="Q39" s="4"/>
      <c r="R39" s="4"/>
      <c r="S39" s="4"/>
      <c r="T39" s="4"/>
      <c r="U39" s="4"/>
      <c r="V39" s="4"/>
      <c r="W39" s="4"/>
      <c r="X39" s="4"/>
      <c r="Y39" s="4"/>
      <c r="Z39" s="4"/>
      <c r="AA39" s="4"/>
    </row>
    <row r="40" spans="1:27" ht="21.75" customHeight="1">
      <c r="A40" s="4"/>
      <c r="B40" s="29" t="s">
        <v>42</v>
      </c>
      <c r="C40" s="31"/>
      <c r="D40" s="30">
        <f t="shared" ref="D40:H40" si="4">SUM(D22:D39)</f>
        <v>12150</v>
      </c>
      <c r="E40" s="30">
        <f t="shared" si="4"/>
        <v>10195</v>
      </c>
      <c r="F40" s="30">
        <f t="shared" si="4"/>
        <v>12290.5</v>
      </c>
      <c r="G40" s="30">
        <f t="shared" si="4"/>
        <v>13268.550000000001</v>
      </c>
      <c r="H40" s="30">
        <f t="shared" si="4"/>
        <v>19696.419999999995</v>
      </c>
      <c r="I40" s="36"/>
      <c r="J40" s="4"/>
      <c r="K40" s="4"/>
      <c r="L40" s="4"/>
      <c r="M40" s="4"/>
      <c r="N40" s="4"/>
      <c r="O40" s="4"/>
      <c r="P40" s="4"/>
      <c r="Q40" s="4"/>
      <c r="R40" s="4"/>
      <c r="S40" s="4"/>
      <c r="T40" s="4"/>
      <c r="U40" s="4"/>
      <c r="V40" s="4"/>
      <c r="W40" s="4"/>
      <c r="X40" s="4"/>
      <c r="Y40" s="4"/>
      <c r="Z40" s="4"/>
      <c r="AA40" s="4"/>
    </row>
    <row r="41" spans="1:27" ht="8.25" customHeight="1">
      <c r="A41" s="4"/>
      <c r="B41" s="7"/>
      <c r="C41" s="6"/>
      <c r="D41" s="6"/>
      <c r="E41" s="6"/>
      <c r="F41" s="6"/>
      <c r="G41" s="6"/>
      <c r="H41" s="6"/>
      <c r="I41" s="41"/>
      <c r="J41" s="4"/>
      <c r="K41" s="4"/>
      <c r="L41" s="26"/>
      <c r="M41" s="4"/>
      <c r="N41" s="4"/>
      <c r="O41" s="4"/>
      <c r="P41" s="4"/>
      <c r="Q41" s="4"/>
      <c r="R41" s="4"/>
      <c r="S41" s="4"/>
      <c r="T41" s="4"/>
      <c r="U41" s="4"/>
      <c r="V41" s="4"/>
      <c r="W41" s="4"/>
      <c r="X41" s="4"/>
      <c r="Y41" s="4"/>
      <c r="Z41" s="4"/>
      <c r="AA41" s="4"/>
    </row>
    <row r="42" spans="1:27" ht="10.5" customHeight="1">
      <c r="A42" s="4"/>
      <c r="B42" s="7"/>
      <c r="C42" s="6"/>
      <c r="D42" s="6"/>
      <c r="E42" s="6"/>
      <c r="F42" s="6"/>
      <c r="G42" s="6"/>
      <c r="H42" s="6"/>
      <c r="I42" s="4"/>
      <c r="J42" s="4"/>
      <c r="K42" s="4"/>
      <c r="L42" s="4"/>
      <c r="M42" s="4"/>
      <c r="N42" s="4"/>
      <c r="O42" s="4"/>
      <c r="P42" s="4"/>
      <c r="Q42" s="4"/>
      <c r="R42" s="4"/>
      <c r="S42" s="4"/>
      <c r="T42" s="4"/>
      <c r="U42" s="4"/>
      <c r="V42" s="4"/>
      <c r="W42" s="4"/>
      <c r="X42" s="4"/>
      <c r="Y42" s="4"/>
      <c r="Z42" s="4"/>
      <c r="AA42" s="4"/>
    </row>
    <row r="43" spans="1:27" ht="21.75" customHeight="1">
      <c r="A43" s="4"/>
      <c r="B43" s="42" t="s">
        <v>43</v>
      </c>
      <c r="C43" s="43"/>
      <c r="D43" s="44">
        <f>D19-D40</f>
        <v>62150</v>
      </c>
      <c r="E43" s="44">
        <f>E19-E40</f>
        <v>44255</v>
      </c>
      <c r="F43" s="44">
        <f>F19-F40</f>
        <v>11109.5</v>
      </c>
      <c r="G43" s="44">
        <f>G19-G40</f>
        <v>104531.45</v>
      </c>
      <c r="H43" s="44">
        <f>H19-H40</f>
        <v>147503.58000000002</v>
      </c>
      <c r="I43" s="4"/>
      <c r="J43" s="4"/>
      <c r="K43" s="4"/>
      <c r="L43" s="4"/>
      <c r="M43" s="4"/>
      <c r="N43" s="4"/>
      <c r="O43" s="4"/>
      <c r="P43" s="4"/>
      <c r="Q43" s="4"/>
      <c r="R43" s="4"/>
      <c r="S43" s="4"/>
      <c r="T43" s="4"/>
      <c r="U43" s="4"/>
      <c r="V43" s="4"/>
      <c r="W43" s="4"/>
      <c r="X43" s="4"/>
      <c r="Y43" s="4"/>
      <c r="Z43" s="4"/>
      <c r="AA43" s="4"/>
    </row>
    <row r="44" spans="1:27" ht="21.75" customHeight="1">
      <c r="A44" s="4"/>
      <c r="B44" s="39" t="s">
        <v>44</v>
      </c>
      <c r="C44" s="24"/>
      <c r="D44" s="34">
        <v>1215</v>
      </c>
      <c r="E44" s="34">
        <v>1019.5</v>
      </c>
      <c r="F44" s="34">
        <v>1229.05</v>
      </c>
      <c r="G44" s="34">
        <v>1326.86</v>
      </c>
      <c r="H44" s="34">
        <v>1969.64</v>
      </c>
      <c r="I44" s="4"/>
      <c r="J44" s="4"/>
      <c r="K44" s="4"/>
      <c r="L44" s="4"/>
      <c r="M44" s="4"/>
      <c r="N44" s="4"/>
      <c r="O44" s="4"/>
      <c r="P44" s="4"/>
      <c r="Q44" s="4"/>
      <c r="R44" s="4"/>
      <c r="S44" s="4"/>
      <c r="T44" s="4"/>
      <c r="U44" s="4"/>
      <c r="V44" s="4"/>
      <c r="W44" s="4"/>
      <c r="X44" s="4"/>
      <c r="Y44" s="4"/>
      <c r="Z44" s="4"/>
      <c r="AA44" s="4"/>
    </row>
    <row r="45" spans="1:27" ht="21.75" customHeight="1">
      <c r="A45" s="4"/>
      <c r="B45" s="42" t="s">
        <v>45</v>
      </c>
      <c r="C45" s="45"/>
      <c r="D45" s="45">
        <f t="shared" ref="D45:H45" si="5">D43-D44</f>
        <v>60935</v>
      </c>
      <c r="E45" s="45">
        <f t="shared" si="5"/>
        <v>43235.5</v>
      </c>
      <c r="F45" s="45">
        <f t="shared" si="5"/>
        <v>9880.4500000000007</v>
      </c>
      <c r="G45" s="45">
        <f t="shared" si="5"/>
        <v>103204.59</v>
      </c>
      <c r="H45" s="45">
        <f t="shared" si="5"/>
        <v>145533.94</v>
      </c>
      <c r="I45" s="4"/>
      <c r="J45" s="4"/>
      <c r="K45" s="4"/>
      <c r="L45" s="4"/>
      <c r="M45" s="4"/>
      <c r="N45" s="4"/>
      <c r="O45" s="4"/>
      <c r="P45" s="4"/>
      <c r="Q45" s="4"/>
      <c r="R45" s="4"/>
      <c r="S45" s="4"/>
      <c r="T45" s="4"/>
      <c r="U45" s="4"/>
      <c r="V45" s="4"/>
      <c r="W45" s="4"/>
      <c r="X45" s="4"/>
      <c r="Y45" s="4"/>
      <c r="Z45" s="4"/>
      <c r="AA45" s="4"/>
    </row>
    <row r="46" spans="1:27" ht="14.25" customHeight="1">
      <c r="A46" s="46"/>
      <c r="B46" s="47"/>
      <c r="C46" s="48"/>
      <c r="D46" s="48"/>
      <c r="E46" s="48"/>
      <c r="F46" s="48"/>
      <c r="G46" s="48"/>
      <c r="H46" s="48"/>
      <c r="I46" s="46"/>
      <c r="J46" s="46"/>
      <c r="K46" s="46"/>
      <c r="L46" s="46"/>
      <c r="M46" s="46"/>
      <c r="N46" s="46"/>
      <c r="O46" s="46"/>
      <c r="P46" s="46"/>
      <c r="Q46" s="46"/>
      <c r="R46" s="46"/>
      <c r="S46" s="46"/>
      <c r="T46" s="46"/>
      <c r="U46" s="46"/>
      <c r="V46" s="46"/>
      <c r="W46" s="46"/>
      <c r="X46" s="46"/>
      <c r="Y46" s="46"/>
      <c r="Z46" s="46"/>
      <c r="AA46" s="46"/>
    </row>
    <row r="47" spans="1:2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c r="A48" s="4"/>
      <c r="B48" s="80" t="s">
        <v>46</v>
      </c>
      <c r="C48" s="81"/>
      <c r="D48" s="81"/>
      <c r="E48" s="81"/>
      <c r="F48" s="81"/>
      <c r="G48" s="81"/>
      <c r="H48" s="82"/>
      <c r="I48" s="4"/>
      <c r="J48" s="4"/>
      <c r="K48" s="4"/>
      <c r="L48" s="4"/>
      <c r="M48" s="4"/>
      <c r="N48" s="4"/>
      <c r="O48" s="4"/>
      <c r="P48" s="4"/>
      <c r="Q48" s="4"/>
      <c r="R48" s="4"/>
      <c r="S48" s="4"/>
      <c r="T48" s="4"/>
      <c r="U48" s="4"/>
      <c r="V48" s="4"/>
      <c r="W48" s="4"/>
      <c r="X48" s="4"/>
      <c r="Y48" s="4"/>
      <c r="Z48" s="4"/>
      <c r="AA48" s="4"/>
    </row>
    <row r="49" spans="1:27" ht="13.5" customHeight="1">
      <c r="A49" s="4"/>
      <c r="B49" s="49"/>
      <c r="C49" s="50"/>
      <c r="D49" s="50"/>
      <c r="E49" s="50"/>
      <c r="F49" s="50"/>
      <c r="G49" s="50"/>
      <c r="H49" s="51"/>
      <c r="I49" s="4"/>
      <c r="J49" s="4"/>
      <c r="K49" s="4"/>
      <c r="L49" s="4"/>
      <c r="M49" s="4"/>
      <c r="N49" s="4"/>
      <c r="O49" s="4"/>
      <c r="P49" s="4"/>
      <c r="Q49" s="4"/>
      <c r="R49" s="4"/>
      <c r="S49" s="4"/>
      <c r="T49" s="4"/>
      <c r="U49" s="4"/>
      <c r="V49" s="4"/>
      <c r="W49" s="4"/>
      <c r="X49" s="4"/>
      <c r="Y49" s="4"/>
      <c r="Z49" s="4"/>
      <c r="AA49" s="4"/>
    </row>
    <row r="50" spans="1:27" ht="13.5" customHeight="1">
      <c r="A50" s="4"/>
      <c r="B50" s="52" t="s">
        <v>47</v>
      </c>
      <c r="C50" s="53"/>
      <c r="D50" s="54">
        <f>D9</f>
        <v>2024</v>
      </c>
      <c r="E50" s="54">
        <f>E9</f>
        <v>2025</v>
      </c>
      <c r="F50" s="54">
        <f>F9</f>
        <v>2026</v>
      </c>
      <c r="G50" s="54">
        <f>G9</f>
        <v>2027</v>
      </c>
      <c r="H50" s="54">
        <f>H9</f>
        <v>2028</v>
      </c>
      <c r="I50" s="4"/>
      <c r="J50" s="4"/>
      <c r="K50" s="4"/>
      <c r="L50" s="4"/>
      <c r="M50" s="4"/>
      <c r="N50" s="4"/>
      <c r="O50" s="4"/>
      <c r="P50" s="4"/>
      <c r="Q50" s="4"/>
      <c r="R50" s="4"/>
      <c r="S50" s="4"/>
      <c r="T50" s="4"/>
      <c r="U50" s="4"/>
      <c r="V50" s="4"/>
      <c r="W50" s="4"/>
      <c r="X50" s="4"/>
      <c r="Y50" s="4"/>
      <c r="Z50" s="4"/>
      <c r="AA50" s="4"/>
    </row>
    <row r="51" spans="1:27" ht="13.5" customHeight="1">
      <c r="A51" s="4"/>
      <c r="B51" s="55" t="s">
        <v>48</v>
      </c>
      <c r="C51" s="56"/>
      <c r="D51" s="57">
        <f>D13</f>
        <v>81000</v>
      </c>
      <c r="E51" s="57">
        <f>E13</f>
        <v>59450</v>
      </c>
      <c r="F51" s="57">
        <f>F13</f>
        <v>43400</v>
      </c>
      <c r="G51" s="57">
        <f>G13</f>
        <v>142800</v>
      </c>
      <c r="H51" s="58">
        <f>H13</f>
        <v>197200</v>
      </c>
      <c r="I51" s="4"/>
      <c r="J51" s="4"/>
      <c r="K51" s="4"/>
      <c r="L51" s="4"/>
      <c r="M51" s="4"/>
      <c r="N51" s="4"/>
      <c r="O51" s="4"/>
      <c r="P51" s="4"/>
      <c r="Q51" s="4"/>
      <c r="R51" s="4"/>
      <c r="S51" s="4"/>
      <c r="T51" s="4"/>
      <c r="U51" s="4"/>
      <c r="V51" s="4"/>
      <c r="W51" s="4"/>
      <c r="X51" s="4"/>
      <c r="Y51" s="4"/>
      <c r="Z51" s="4"/>
      <c r="AA51" s="4"/>
    </row>
    <row r="52" spans="1:27" ht="13.5" customHeight="1">
      <c r="A52" s="4"/>
      <c r="B52" s="55" t="s">
        <v>49</v>
      </c>
      <c r="C52" s="56"/>
      <c r="D52" s="57">
        <f>D17</f>
        <v>6700</v>
      </c>
      <c r="E52" s="57">
        <f>E17</f>
        <v>5000</v>
      </c>
      <c r="F52" s="57">
        <f>F17</f>
        <v>20000</v>
      </c>
      <c r="G52" s="57">
        <f>G17</f>
        <v>25000</v>
      </c>
      <c r="H52" s="58">
        <f>H17</f>
        <v>30000</v>
      </c>
      <c r="I52" s="4"/>
      <c r="J52" s="4"/>
      <c r="K52" s="4"/>
      <c r="L52" s="4"/>
      <c r="M52" s="4"/>
      <c r="N52" s="4"/>
      <c r="O52" s="4"/>
      <c r="P52" s="4"/>
      <c r="Q52" s="4"/>
      <c r="R52" s="4"/>
      <c r="S52" s="4"/>
      <c r="T52" s="4"/>
      <c r="U52" s="4"/>
      <c r="V52" s="4"/>
      <c r="W52" s="4"/>
      <c r="X52" s="4"/>
      <c r="Y52" s="4"/>
      <c r="Z52" s="4"/>
      <c r="AA52" s="4"/>
    </row>
    <row r="53" spans="1:27" ht="13.5" customHeight="1">
      <c r="A53" s="4"/>
      <c r="B53" s="59" t="s">
        <v>50</v>
      </c>
      <c r="C53" s="60"/>
      <c r="D53" s="61">
        <f t="shared" ref="D53:H53" si="6">D51-D52</f>
        <v>74300</v>
      </c>
      <c r="E53" s="61">
        <f t="shared" si="6"/>
        <v>54450</v>
      </c>
      <c r="F53" s="61">
        <f t="shared" si="6"/>
        <v>23400</v>
      </c>
      <c r="G53" s="61">
        <f t="shared" si="6"/>
        <v>117800</v>
      </c>
      <c r="H53" s="62">
        <f t="shared" si="6"/>
        <v>167200</v>
      </c>
      <c r="I53" s="4"/>
      <c r="J53" s="4"/>
      <c r="K53" s="4"/>
      <c r="L53" s="4"/>
      <c r="M53" s="4"/>
      <c r="N53" s="4"/>
      <c r="O53" s="4"/>
      <c r="P53" s="4"/>
      <c r="Q53" s="4"/>
      <c r="R53" s="4"/>
      <c r="S53" s="4"/>
      <c r="T53" s="4"/>
      <c r="U53" s="4"/>
      <c r="V53" s="4"/>
      <c r="W53" s="4"/>
      <c r="X53" s="4"/>
      <c r="Y53" s="4"/>
      <c r="Z53" s="4"/>
      <c r="AA53" s="4"/>
    </row>
    <row r="54" spans="1:27" ht="13.5" customHeight="1">
      <c r="A54" s="4"/>
      <c r="B54" s="55" t="s">
        <v>51</v>
      </c>
      <c r="C54" s="56"/>
      <c r="D54" s="63">
        <f t="shared" ref="D54:H54" si="7">IFERROR(D53/D51,"-")</f>
        <v>0.91728395061728396</v>
      </c>
      <c r="E54" s="63">
        <f t="shared" si="7"/>
        <v>0.91589571068124476</v>
      </c>
      <c r="F54" s="63">
        <f t="shared" si="7"/>
        <v>0.53917050691244239</v>
      </c>
      <c r="G54" s="63">
        <f t="shared" si="7"/>
        <v>0.82492997198879547</v>
      </c>
      <c r="H54" s="64">
        <f t="shared" si="7"/>
        <v>0.84787018255578095</v>
      </c>
      <c r="I54" s="4"/>
      <c r="J54" s="4"/>
      <c r="K54" s="4"/>
      <c r="L54" s="4"/>
      <c r="M54" s="4"/>
      <c r="N54" s="4"/>
      <c r="O54" s="4"/>
      <c r="P54" s="4"/>
      <c r="Q54" s="4"/>
      <c r="R54" s="4"/>
      <c r="S54" s="4"/>
      <c r="T54" s="4"/>
      <c r="U54" s="4"/>
      <c r="V54" s="4"/>
      <c r="W54" s="4"/>
      <c r="X54" s="4"/>
      <c r="Y54" s="4"/>
      <c r="Z54" s="4"/>
      <c r="AA54" s="4"/>
    </row>
    <row r="55" spans="1:27" ht="13.5" customHeight="1">
      <c r="A55" s="4"/>
      <c r="B55" s="65"/>
      <c r="C55" s="56"/>
      <c r="D55" s="56"/>
      <c r="E55" s="56"/>
      <c r="F55" s="56"/>
      <c r="G55" s="56"/>
      <c r="H55" s="66"/>
      <c r="I55" s="4"/>
      <c r="J55" s="4"/>
      <c r="K55" s="4"/>
      <c r="L55" s="4"/>
      <c r="M55" s="4"/>
      <c r="N55" s="4"/>
      <c r="O55" s="4"/>
      <c r="P55" s="4"/>
      <c r="Q55" s="4"/>
      <c r="R55" s="4"/>
      <c r="S55" s="4"/>
      <c r="T55" s="4"/>
      <c r="U55" s="4"/>
      <c r="V55" s="4"/>
      <c r="W55" s="4"/>
      <c r="X55" s="4"/>
      <c r="Y55" s="4"/>
      <c r="Z55" s="4"/>
      <c r="AA55" s="4"/>
    </row>
    <row r="56" spans="1:27" ht="13.5" customHeight="1">
      <c r="A56" s="4"/>
      <c r="B56" s="52" t="s">
        <v>52</v>
      </c>
      <c r="C56" s="53"/>
      <c r="D56" s="54">
        <f t="shared" ref="D56:H56" si="8">D50</f>
        <v>2024</v>
      </c>
      <c r="E56" s="54">
        <f t="shared" si="8"/>
        <v>2025</v>
      </c>
      <c r="F56" s="54">
        <f t="shared" si="8"/>
        <v>2026</v>
      </c>
      <c r="G56" s="54">
        <f t="shared" si="8"/>
        <v>2027</v>
      </c>
      <c r="H56" s="67">
        <f t="shared" si="8"/>
        <v>2028</v>
      </c>
      <c r="I56" s="4"/>
      <c r="J56" s="4"/>
      <c r="K56" s="4"/>
      <c r="L56" s="4"/>
      <c r="M56" s="4"/>
      <c r="N56" s="4"/>
      <c r="O56" s="4"/>
      <c r="P56" s="4"/>
      <c r="Q56" s="4"/>
      <c r="R56" s="4"/>
      <c r="S56" s="4"/>
      <c r="T56" s="4"/>
      <c r="U56" s="4"/>
      <c r="V56" s="4"/>
      <c r="W56" s="4"/>
      <c r="X56" s="4"/>
      <c r="Y56" s="4"/>
      <c r="Z56" s="4"/>
      <c r="AA56" s="4"/>
    </row>
    <row r="57" spans="1:27" ht="13.5" customHeight="1">
      <c r="A57" s="4"/>
      <c r="B57" s="55" t="s">
        <v>53</v>
      </c>
      <c r="C57" s="56"/>
      <c r="D57" s="57">
        <f t="shared" ref="D57:H57" si="9">D40</f>
        <v>12150</v>
      </c>
      <c r="E57" s="57">
        <f t="shared" si="9"/>
        <v>10195</v>
      </c>
      <c r="F57" s="57">
        <f t="shared" si="9"/>
        <v>12290.5</v>
      </c>
      <c r="G57" s="57">
        <f t="shared" si="9"/>
        <v>13268.550000000001</v>
      </c>
      <c r="H57" s="58">
        <f t="shared" si="9"/>
        <v>19696.419999999995</v>
      </c>
      <c r="I57" s="4"/>
      <c r="J57" s="4"/>
      <c r="K57" s="4"/>
      <c r="L57" s="4"/>
      <c r="M57" s="4"/>
      <c r="N57" s="4"/>
      <c r="O57" s="4"/>
      <c r="P57" s="4"/>
      <c r="Q57" s="4"/>
      <c r="R57" s="4"/>
      <c r="S57" s="4"/>
      <c r="T57" s="4"/>
      <c r="U57" s="4"/>
      <c r="V57" s="4"/>
      <c r="W57" s="4"/>
      <c r="X57" s="4"/>
      <c r="Y57" s="4"/>
      <c r="Z57" s="4"/>
      <c r="AA57" s="4"/>
    </row>
    <row r="58" spans="1:27" ht="13.5" customHeight="1">
      <c r="A58" s="4"/>
      <c r="B58" s="55" t="s">
        <v>54</v>
      </c>
      <c r="C58" s="56"/>
      <c r="D58" s="57">
        <f t="shared" ref="D58:H58" si="10">D34</f>
        <v>2500</v>
      </c>
      <c r="E58" s="57">
        <f t="shared" si="10"/>
        <v>2750</v>
      </c>
      <c r="F58" s="57">
        <f t="shared" si="10"/>
        <v>1000</v>
      </c>
      <c r="G58" s="57">
        <f t="shared" si="10"/>
        <v>1100</v>
      </c>
      <c r="H58" s="58">
        <f t="shared" si="10"/>
        <v>1210</v>
      </c>
      <c r="I58" s="4"/>
      <c r="J58" s="4"/>
      <c r="K58" s="4"/>
      <c r="L58" s="4"/>
      <c r="M58" s="4"/>
      <c r="N58" s="4"/>
      <c r="O58" s="4"/>
      <c r="P58" s="4"/>
      <c r="Q58" s="4"/>
      <c r="R58" s="4"/>
      <c r="S58" s="4"/>
      <c r="T58" s="4"/>
      <c r="U58" s="4"/>
      <c r="V58" s="4"/>
      <c r="W58" s="4"/>
      <c r="X58" s="4"/>
      <c r="Y58" s="4"/>
      <c r="Z58" s="4"/>
      <c r="AA58" s="4"/>
    </row>
    <row r="59" spans="1:27" ht="13.5" customHeight="1">
      <c r="A59" s="4"/>
      <c r="B59" s="55" t="s">
        <v>55</v>
      </c>
      <c r="C59" s="56"/>
      <c r="D59" s="57">
        <f t="shared" ref="D59:H59" si="11">D44</f>
        <v>1215</v>
      </c>
      <c r="E59" s="57">
        <f t="shared" si="11"/>
        <v>1019.5</v>
      </c>
      <c r="F59" s="57">
        <f t="shared" si="11"/>
        <v>1229.05</v>
      </c>
      <c r="G59" s="57">
        <f t="shared" si="11"/>
        <v>1326.86</v>
      </c>
      <c r="H59" s="58">
        <f t="shared" si="11"/>
        <v>1969.64</v>
      </c>
      <c r="I59" s="4"/>
      <c r="J59" s="4"/>
      <c r="K59" s="4"/>
      <c r="L59" s="4"/>
      <c r="M59" s="4"/>
      <c r="N59" s="4"/>
      <c r="O59" s="4"/>
      <c r="P59" s="4"/>
      <c r="Q59" s="4"/>
      <c r="R59" s="4"/>
      <c r="S59" s="4"/>
      <c r="T59" s="4"/>
      <c r="U59" s="4"/>
      <c r="V59" s="4"/>
      <c r="W59" s="4"/>
      <c r="X59" s="4"/>
      <c r="Y59" s="4"/>
      <c r="Z59" s="4"/>
      <c r="AA59" s="4"/>
    </row>
    <row r="60" spans="1:27" ht="13.5" customHeight="1">
      <c r="A60" s="4"/>
      <c r="B60" s="68" t="s">
        <v>56</v>
      </c>
      <c r="C60" s="69"/>
      <c r="D60" s="70">
        <f t="shared" ref="D60:H60" si="12">D53-D57+D58</f>
        <v>64650</v>
      </c>
      <c r="E60" s="70">
        <f t="shared" si="12"/>
        <v>47005</v>
      </c>
      <c r="F60" s="70">
        <f t="shared" si="12"/>
        <v>12109.5</v>
      </c>
      <c r="G60" s="70">
        <f t="shared" si="12"/>
        <v>105631.45</v>
      </c>
      <c r="H60" s="70">
        <f t="shared" si="12"/>
        <v>148713.58000000002</v>
      </c>
      <c r="I60" s="4"/>
      <c r="J60" s="4"/>
      <c r="K60" s="4"/>
      <c r="L60" s="4"/>
      <c r="M60" s="4"/>
      <c r="N60" s="4"/>
      <c r="O60" s="4"/>
      <c r="P60" s="4"/>
      <c r="Q60" s="4"/>
      <c r="R60" s="4"/>
      <c r="S60" s="4"/>
      <c r="T60" s="4"/>
      <c r="U60" s="4"/>
      <c r="V60" s="4"/>
      <c r="W60" s="4"/>
      <c r="X60" s="4"/>
      <c r="Y60" s="4"/>
      <c r="Z60" s="4"/>
      <c r="AA60" s="4"/>
    </row>
    <row r="61" spans="1:27"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c r="A63" s="4"/>
      <c r="B63" s="76" t="s">
        <v>57</v>
      </c>
      <c r="C63" s="73"/>
      <c r="D63" s="73"/>
      <c r="E63" s="73"/>
      <c r="F63" s="73"/>
      <c r="G63" s="73"/>
      <c r="H63" s="73"/>
      <c r="I63" s="4"/>
      <c r="J63" s="4"/>
      <c r="K63" s="4"/>
      <c r="L63" s="4"/>
      <c r="M63" s="4"/>
      <c r="N63" s="4"/>
      <c r="O63" s="4"/>
      <c r="P63" s="4"/>
      <c r="Q63" s="4"/>
      <c r="R63" s="4"/>
      <c r="S63" s="4"/>
      <c r="T63" s="4"/>
      <c r="U63" s="4"/>
      <c r="V63" s="4"/>
      <c r="W63" s="4"/>
      <c r="X63" s="4"/>
      <c r="Y63" s="4"/>
      <c r="Z63" s="4"/>
      <c r="AA63" s="4"/>
    </row>
    <row r="64" spans="1:27" ht="13.5" customHeight="1">
      <c r="A64" s="4"/>
      <c r="B64" s="73"/>
      <c r="C64" s="73"/>
      <c r="D64" s="73"/>
      <c r="E64" s="73"/>
      <c r="F64" s="73"/>
      <c r="G64" s="73"/>
      <c r="H64" s="73"/>
      <c r="I64" s="4"/>
      <c r="J64" s="4"/>
      <c r="K64" s="4"/>
      <c r="L64" s="4"/>
      <c r="M64" s="4"/>
      <c r="N64" s="4"/>
      <c r="O64" s="4"/>
      <c r="P64" s="4"/>
      <c r="Q64" s="4"/>
      <c r="R64" s="4"/>
      <c r="S64" s="4"/>
      <c r="T64" s="4"/>
      <c r="U64" s="4"/>
      <c r="V64" s="4"/>
      <c r="W64" s="4"/>
      <c r="X64" s="4"/>
      <c r="Y64" s="4"/>
      <c r="Z64" s="4"/>
      <c r="AA64" s="4"/>
    </row>
    <row r="65" spans="1:27" ht="13.5" customHeight="1">
      <c r="A65" s="4"/>
      <c r="B65" s="73"/>
      <c r="C65" s="73"/>
      <c r="D65" s="73"/>
      <c r="E65" s="73"/>
      <c r="F65" s="73"/>
      <c r="G65" s="73"/>
      <c r="H65" s="73"/>
      <c r="I65" s="4"/>
      <c r="J65" s="4"/>
      <c r="K65" s="4"/>
      <c r="L65" s="4"/>
      <c r="M65" s="4"/>
      <c r="N65" s="4"/>
      <c r="O65" s="4"/>
      <c r="P65" s="4"/>
      <c r="Q65" s="4"/>
      <c r="R65" s="4"/>
      <c r="S65" s="4"/>
      <c r="T65" s="4"/>
      <c r="U65" s="4"/>
      <c r="V65" s="4"/>
      <c r="W65" s="4"/>
      <c r="X65" s="4"/>
      <c r="Y65" s="4"/>
      <c r="Z65" s="4"/>
      <c r="AA65" s="4"/>
    </row>
    <row r="66" spans="1:27"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ht="13.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spans="1:27" ht="13.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mergeCells count="6">
    <mergeCell ref="B63:H65"/>
    <mergeCell ref="F2:H2"/>
    <mergeCell ref="F3:G3"/>
    <mergeCell ref="K5:T9"/>
    <mergeCell ref="D7:H7"/>
    <mergeCell ref="B48:H48"/>
  </mergeCells>
  <pageMargins left="0.3" right="0.3" top="0.3" bottom="0.3" header="0" footer="0"/>
  <pageSetup fitToHeight="0" orientation="portrait"/>
  <extLst>
    <ext xmlns:x14="http://schemas.microsoft.com/office/spreadsheetml/2009/9/main" uri="{05C60535-1F16-4fd2-B633-F4F36F0B64E0}">
      <x14:sparklineGroups xmlns:xm="http://schemas.microsoft.com/office/excel/2006/main">
        <x14:sparklineGroup displayEmptyCellsAs="gap" xr2:uid="{00000000-0003-0000-0000-000004000000}">
          <x14:colorSeries theme="1"/>
          <x14:sparklines>
            <x14:sparkline>
              <xm:f>'5 YEARS_Annual Profit and Loss'!D22:H22</xm:f>
              <xm:sqref>C22</xm:sqref>
            </x14:sparkline>
          </x14:sparklines>
        </x14:sparklineGroup>
        <x14:sparklineGroup displayEmptyCellsAs="gap" xr2:uid="{00000000-0003-0000-0000-000005000000}">
          <x14:colorSeries theme="1"/>
          <x14:sparklines>
            <x14:sparkline>
              <xm:f>'5 YEARS_Annual Profit and Loss'!D23:H23</xm:f>
              <xm:sqref>C23</xm:sqref>
            </x14:sparkline>
          </x14:sparklines>
        </x14:sparklineGroup>
        <x14:sparklineGroup displayEmptyCellsAs="gap" xr2:uid="{00000000-0003-0000-0000-000006000000}">
          <x14:colorSeries theme="1"/>
          <x14:sparklines>
            <x14:sparkline>
              <xm:f>'5 YEARS_Annual Profit and Loss'!D24:H24</xm:f>
              <xm:sqref>C24</xm:sqref>
            </x14:sparkline>
          </x14:sparklines>
        </x14:sparklineGroup>
        <x14:sparklineGroup displayEmptyCellsAs="gap" xr2:uid="{00000000-0003-0000-0000-000007000000}">
          <x14:colorSeries theme="1"/>
          <x14:sparklines>
            <x14:sparkline>
              <xm:f>'5 YEARS_Annual Profit and Loss'!D25:H25</xm:f>
              <xm:sqref>C25</xm:sqref>
            </x14:sparkline>
          </x14:sparklines>
        </x14:sparklineGroup>
        <x14:sparklineGroup displayEmptyCellsAs="gap" xr2:uid="{00000000-0003-0000-0000-000008000000}">
          <x14:colorSeries theme="1"/>
          <x14:sparklines>
            <x14:sparkline>
              <xm:f>'5 YEARS_Annual Profit and Loss'!D26:H26</xm:f>
              <xm:sqref>C26</xm:sqref>
            </x14:sparkline>
          </x14:sparklines>
        </x14:sparklineGroup>
        <x14:sparklineGroup displayEmptyCellsAs="gap" xr2:uid="{00000000-0003-0000-0000-000009000000}">
          <x14:colorSeries theme="1"/>
          <x14:sparklines>
            <x14:sparkline>
              <xm:f>'5 YEARS_Annual Profit and Loss'!D27:H27</xm:f>
              <xm:sqref>C27</xm:sqref>
            </x14:sparkline>
          </x14:sparklines>
        </x14:sparklineGroup>
        <x14:sparklineGroup displayEmptyCellsAs="gap" xr2:uid="{00000000-0003-0000-0000-00000A000000}">
          <x14:colorSeries theme="1"/>
          <x14:sparklines>
            <x14:sparkline>
              <xm:f>'5 YEARS_Annual Profit and Loss'!D28:H28</xm:f>
              <xm:sqref>C28</xm:sqref>
            </x14:sparkline>
          </x14:sparklines>
        </x14:sparklineGroup>
        <x14:sparklineGroup displayEmptyCellsAs="gap" xr2:uid="{00000000-0003-0000-0000-00000B000000}">
          <x14:colorSeries theme="1"/>
          <x14:sparklines>
            <x14:sparkline>
              <xm:f>'5 YEARS_Annual Profit and Loss'!D29:H29</xm:f>
              <xm:sqref>C29</xm:sqref>
            </x14:sparkline>
          </x14:sparklines>
        </x14:sparklineGroup>
        <x14:sparklineGroup displayEmptyCellsAs="gap" xr2:uid="{00000000-0003-0000-0000-00000C000000}">
          <x14:colorSeries theme="1"/>
          <x14:sparklines>
            <x14:sparkline>
              <xm:f>'5 YEARS_Annual Profit and Loss'!D30:H30</xm:f>
              <xm:sqref>C30</xm:sqref>
            </x14:sparkline>
          </x14:sparklines>
        </x14:sparklineGroup>
        <x14:sparklineGroup displayEmptyCellsAs="gap" xr2:uid="{00000000-0003-0000-0000-00000D000000}">
          <x14:colorSeries theme="1"/>
          <x14:sparklines>
            <x14:sparkline>
              <xm:f>'5 YEARS_Annual Profit and Loss'!D31:H31</xm:f>
              <xm:sqref>C31</xm:sqref>
            </x14:sparkline>
          </x14:sparklines>
        </x14:sparklineGroup>
        <x14:sparklineGroup displayEmptyCellsAs="gap" xr2:uid="{00000000-0003-0000-0000-00000E000000}">
          <x14:colorSeries theme="1"/>
          <x14:sparklines>
            <x14:sparkline>
              <xm:f>'5 YEARS_Annual Profit and Loss'!D32:H32</xm:f>
              <xm:sqref>C32</xm:sqref>
            </x14:sparkline>
          </x14:sparklines>
        </x14:sparklineGroup>
        <x14:sparklineGroup displayEmptyCellsAs="gap" xr2:uid="{00000000-0003-0000-0000-00000F000000}">
          <x14:colorSeries theme="1"/>
          <x14:sparklines>
            <x14:sparkline>
              <xm:f>'5 YEARS_Annual Profit and Loss'!D33:H33</xm:f>
              <xm:sqref>C33</xm:sqref>
            </x14:sparkline>
          </x14:sparklines>
        </x14:sparklineGroup>
        <x14:sparklineGroup displayEmptyCellsAs="gap" xr2:uid="{00000000-0003-0000-0000-000010000000}">
          <x14:colorSeries theme="1"/>
          <x14:sparklines>
            <x14:sparkline>
              <xm:f>'5 YEARS_Annual Profit and Loss'!D34:H34</xm:f>
              <xm:sqref>C34</xm:sqref>
            </x14:sparkline>
          </x14:sparklines>
        </x14:sparklineGroup>
        <x14:sparklineGroup displayEmptyCellsAs="gap" xr2:uid="{00000000-0003-0000-0000-000011000000}">
          <x14:colorSeries theme="1"/>
          <x14:sparklines>
            <x14:sparkline>
              <xm:f>'5 YEARS_Annual Profit and Loss'!D35:H35</xm:f>
              <xm:sqref>C35</xm:sqref>
            </x14:sparkline>
          </x14:sparklines>
        </x14:sparklineGroup>
        <x14:sparklineGroup displayEmptyCellsAs="gap" xr2:uid="{00000000-0003-0000-0000-000012000000}">
          <x14:colorSeries theme="1"/>
          <x14:sparklines>
            <x14:sparkline>
              <xm:f>'5 YEARS_Annual Profit and Loss'!D36:H36</xm:f>
              <xm:sqref>C36</xm:sqref>
            </x14:sparkline>
          </x14:sparklines>
        </x14:sparklineGroup>
        <x14:sparklineGroup displayEmptyCellsAs="gap" xr2:uid="{00000000-0003-0000-0000-000013000000}">
          <x14:colorSeries theme="1"/>
          <x14:sparklines>
            <x14:sparkline>
              <xm:f>'5 YEARS_Annual Profit and Loss'!D37:H37</xm:f>
              <xm:sqref>C37</xm:sqref>
            </x14:sparkline>
          </x14:sparklines>
        </x14:sparklineGroup>
        <x14:sparklineGroup displayEmptyCellsAs="gap" xr2:uid="{00000000-0003-0000-0000-000014000000}">
          <x14:colorSeries theme="1"/>
          <x14:sparklines>
            <x14:sparkline>
              <xm:f>'5 YEARS_Annual Profit and Loss'!D38:H38</xm:f>
              <xm:sqref>C38</xm:sqref>
            </x14:sparkline>
          </x14:sparklines>
        </x14:sparklineGroup>
        <x14:sparklineGroup displayEmptyCellsAs="gap" xr2:uid="{00000000-0003-0000-0000-000015000000}">
          <x14:colorSeries theme="1"/>
          <x14:sparklines>
            <x14:sparkline>
              <xm:f>'5 YEARS_Annual Profit and Loss'!D39:H39</xm:f>
              <xm:sqref>C39</xm:sqref>
            </x14:sparkline>
          </x14:sparklines>
        </x14:sparklineGroup>
        <x14:sparklineGroup displayEmptyCellsAs="gap" xr2:uid="{00000000-0003-0000-0000-000016000000}">
          <x14:colorSeries theme="1"/>
          <x14:sparklines>
            <x14:sparkline>
              <xm:f>'5 YEARS_Annual Profit and Loss'!D44:H44</xm:f>
              <xm:sqref>C44</xm:sqref>
            </x14:sparkline>
          </x14:sparklines>
        </x14:sparklineGroup>
        <x14:sparklineGroup displayEmptyCellsAs="gap" xr2:uid="{00000000-0003-0000-0000-000003000000}">
          <x14:colorSeries theme="1"/>
          <x14:sparklines>
            <x14:sparkline>
              <xm:f>'5 YEARS_Annual Profit and Loss'!D16:H16</xm:f>
              <xm:sqref>C16</xm:sqref>
            </x14:sparkline>
          </x14:sparklines>
        </x14:sparklineGroup>
        <x14:sparklineGroup displayEmptyCellsAs="gap" xr2:uid="{00000000-0003-0000-0000-000002000000}">
          <x14:colorSeries rgb="FFFF0000"/>
          <x14:sparklines>
            <x14:sparkline>
              <xm:f>'BackEnd_DoNOT DELETE'!B6:E6</xm:f>
              <xm:sqref>C12</xm:sqref>
            </x14:sparkline>
          </x14:sparklines>
        </x14:sparklineGroup>
        <x14:sparklineGroup displayEmptyCellsAs="gap" xr2:uid="{00000000-0003-0000-0000-000001000000}">
          <x14:colorSeries rgb="FFFF0000"/>
          <x14:sparklines>
            <x14:sparkline>
              <xm:f>'BackEnd_DoNOT DELETE'!B5:E5</xm:f>
              <xm:sqref>C11</xm:sqref>
            </x14:sparkline>
          </x14:sparklines>
        </x14:sparklineGroup>
        <x14:sparklineGroup displayEmptyCellsAs="gap" xr2:uid="{00000000-0003-0000-0000-000000000000}">
          <x14:colorSeries theme="1"/>
          <x14:sparklines>
            <x14:sparkline>
              <xm:f>'5 YEARS_Annual Profit and Loss'!D10:H10</xm:f>
              <xm:sqref>C10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5:E6"/>
  <sheetViews>
    <sheetView workbookViewId="0"/>
  </sheetViews>
  <sheetFormatPr defaultColWidth="14.44140625" defaultRowHeight="15" customHeight="1"/>
  <sheetData>
    <row r="5" spans="2:5">
      <c r="B5" s="71">
        <f>-'5 YEARS_Annual Profit and Loss'!D11</f>
        <v>5000</v>
      </c>
      <c r="C5" s="71">
        <f>-'5 YEARS_Annual Profit and Loss'!E11</f>
        <v>5500</v>
      </c>
      <c r="D5" s="71">
        <f>-'5 YEARS_Annual Profit and Loss'!F11</f>
        <v>1000</v>
      </c>
      <c r="E5" s="71">
        <f>-'5 YEARS_Annual Profit and Loss'!G11</f>
        <v>6500</v>
      </c>
    </row>
    <row r="6" spans="2:5">
      <c r="B6" s="71">
        <f>-'5 YEARS_Annual Profit and Loss'!D12</f>
        <v>1000</v>
      </c>
      <c r="C6" s="71">
        <f>-'5 YEARS_Annual Profit and Loss'!E12</f>
        <v>50</v>
      </c>
      <c r="D6" s="71">
        <f>-'5 YEARS_Annual Profit and Loss'!F12</f>
        <v>600</v>
      </c>
      <c r="E6" s="71">
        <f>-'5 YEARS_Annual Profit and Loss'!G12</f>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5 YEARS_Annual Profit and Loss</vt:lpstr>
      <vt:lpstr>BackEnd_DoNOT DELETE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Janaka</cp:lastModifiedBy>
  <dcterms:modified xsi:type="dcterms:W3CDTF">2026-01-09T04:17:41Z</dcterms:modified>
</cp:coreProperties>
</file>